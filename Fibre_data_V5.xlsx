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shawm\VSCode Projects\GlassMechAnalysis\"/>
    </mc:Choice>
  </mc:AlternateContent>
  <xr:revisionPtr revIDLastSave="0" documentId="8_{5A8A1817-05E2-476B-9BDE-640B87C47505}" xr6:coauthVersionLast="47" xr6:coauthVersionMax="47" xr10:uidLastSave="{00000000-0000-0000-0000-000000000000}"/>
  <bookViews>
    <workbookView xWindow="38400" yWindow="2340" windowWidth="35970" windowHeight="19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4" i="1" l="1"/>
  <c r="H95" i="1"/>
  <c r="H96" i="1"/>
  <c r="H97" i="1"/>
  <c r="H98" i="1"/>
  <c r="H99" i="1"/>
  <c r="H100" i="1"/>
  <c r="H101" i="1"/>
  <c r="H102" i="1"/>
  <c r="H103" i="1"/>
  <c r="H104" i="1"/>
  <c r="H10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2" i="1"/>
  <c r="G97" i="1"/>
  <c r="G98" i="1"/>
  <c r="G99" i="1"/>
  <c r="G100" i="1"/>
  <c r="G101" i="1"/>
  <c r="G102" i="1"/>
  <c r="G103" i="1"/>
  <c r="G104" i="1"/>
  <c r="G10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2" i="1"/>
  <c r="B87" i="1"/>
  <c r="B88" i="1"/>
  <c r="B89" i="1"/>
  <c r="B90" i="1"/>
  <c r="B91" i="1"/>
  <c r="B92" i="1"/>
  <c r="B93" i="1"/>
  <c r="B94" i="1"/>
  <c r="B95" i="1"/>
  <c r="B96" i="1"/>
  <c r="B97" i="1"/>
  <c r="B98" i="1"/>
  <c r="B86" i="1"/>
  <c r="B74" i="1"/>
  <c r="B75" i="1"/>
  <c r="B76" i="1"/>
  <c r="B77" i="1"/>
  <c r="B78" i="1"/>
  <c r="B79" i="1"/>
  <c r="B80" i="1"/>
  <c r="B81" i="1"/>
  <c r="B82" i="1"/>
  <c r="B83" i="1"/>
  <c r="B84" i="1"/>
  <c r="B85" i="1"/>
  <c r="B73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35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2" i="1"/>
  <c r="F72" i="1" l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</calcChain>
</file>

<file path=xl/sharedStrings.xml><?xml version="1.0" encoding="utf-8"?>
<sst xmlns="http://schemas.openxmlformats.org/spreadsheetml/2006/main" count="234" uniqueCount="121">
  <si>
    <t>test_num</t>
  </si>
  <si>
    <t>fracture_diameter</t>
  </si>
  <si>
    <t>fracture_diameter_SD</t>
  </si>
  <si>
    <t>CS_area</t>
  </si>
  <si>
    <t>%_elong_at_break</t>
  </si>
  <si>
    <t>fracture_stress</t>
  </si>
  <si>
    <t>elastic_mod</t>
  </si>
  <si>
    <t>test_notes</t>
  </si>
  <si>
    <t>S1.1</t>
  </si>
  <si>
    <t>S1.2</t>
  </si>
  <si>
    <t>S1.3</t>
  </si>
  <si>
    <t>S1.4</t>
  </si>
  <si>
    <t>S1.5</t>
  </si>
  <si>
    <t>outlier diameter</t>
  </si>
  <si>
    <t>S1.6</t>
  </si>
  <si>
    <t>S1.7</t>
  </si>
  <si>
    <t>S1.8</t>
  </si>
  <si>
    <t>S1.9</t>
  </si>
  <si>
    <t>maybe error</t>
  </si>
  <si>
    <t>S1.10</t>
  </si>
  <si>
    <t>S1.11</t>
  </si>
  <si>
    <t>S1.12</t>
  </si>
  <si>
    <t>S1.13</t>
  </si>
  <si>
    <t>S1.14</t>
  </si>
  <si>
    <t>S1.15</t>
  </si>
  <si>
    <t>S1.16</t>
  </si>
  <si>
    <t>S1.17</t>
  </si>
  <si>
    <t>S1.18</t>
  </si>
  <si>
    <t>S1.19</t>
  </si>
  <si>
    <t>S1.20</t>
  </si>
  <si>
    <t>S1.21</t>
  </si>
  <si>
    <t>S1.22</t>
  </si>
  <si>
    <t>S1.23</t>
  </si>
  <si>
    <t>S1.24</t>
  </si>
  <si>
    <t>batch</t>
  </si>
  <si>
    <t>S2.1</t>
  </si>
  <si>
    <t>S2.2</t>
  </si>
  <si>
    <t>S2.3</t>
  </si>
  <si>
    <t>S2.4</t>
  </si>
  <si>
    <t>S2.5</t>
  </si>
  <si>
    <t>S2.6</t>
  </si>
  <si>
    <t>S2.7</t>
  </si>
  <si>
    <t>S2.9</t>
  </si>
  <si>
    <t>S2.10</t>
  </si>
  <si>
    <t>L1.1</t>
  </si>
  <si>
    <t>L1.2</t>
  </si>
  <si>
    <t>L1.3</t>
  </si>
  <si>
    <t>L1.4</t>
  </si>
  <si>
    <t>L1.5</t>
  </si>
  <si>
    <t>L1.6</t>
  </si>
  <si>
    <t>L1.7</t>
  </si>
  <si>
    <t>L1.8</t>
  </si>
  <si>
    <t>L1.9</t>
  </si>
  <si>
    <t>L1.10</t>
  </si>
  <si>
    <t>L1.11</t>
  </si>
  <si>
    <t>L1.12</t>
  </si>
  <si>
    <t>L1.13</t>
  </si>
  <si>
    <t>L1.14</t>
  </si>
  <si>
    <t>L1.15</t>
  </si>
  <si>
    <t>L1.16</t>
  </si>
  <si>
    <t>L1.17</t>
  </si>
  <si>
    <t>L1.18</t>
  </si>
  <si>
    <t>L1.19</t>
  </si>
  <si>
    <t>L2.1</t>
  </si>
  <si>
    <t>L2.2</t>
  </si>
  <si>
    <t>L3.1</t>
  </si>
  <si>
    <t>L3.2</t>
  </si>
  <si>
    <t>L3.3</t>
  </si>
  <si>
    <t>L3.4</t>
  </si>
  <si>
    <t>L3.5</t>
  </si>
  <si>
    <t>L3.6</t>
  </si>
  <si>
    <t>L3.7</t>
  </si>
  <si>
    <t>L3.8</t>
  </si>
  <si>
    <t>L3.9</t>
  </si>
  <si>
    <t>L3.10</t>
  </si>
  <si>
    <t>L3.11</t>
  </si>
  <si>
    <t>L3.12</t>
  </si>
  <si>
    <t>L3.13</t>
  </si>
  <si>
    <t>L3.14</t>
  </si>
  <si>
    <t>L3.15</t>
  </si>
  <si>
    <t>L3.16</t>
  </si>
  <si>
    <t>L3.17</t>
  </si>
  <si>
    <t>Favimat 1</t>
  </si>
  <si>
    <t>Favimat 2</t>
  </si>
  <si>
    <t>Favimat 3</t>
  </si>
  <si>
    <t>Favimat 4</t>
  </si>
  <si>
    <t>Favimat 5</t>
  </si>
  <si>
    <t>Favimat 6</t>
  </si>
  <si>
    <t>Favimat 7</t>
  </si>
  <si>
    <t>Favimat 8</t>
  </si>
  <si>
    <t>Favimat 9</t>
  </si>
  <si>
    <t>Favimat 11</t>
  </si>
  <si>
    <t>Favimat 2.1</t>
  </si>
  <si>
    <t>Favimat 2.2</t>
  </si>
  <si>
    <t>Favimat 2.3</t>
  </si>
  <si>
    <t>X 3</t>
  </si>
  <si>
    <t>X 15</t>
  </si>
  <si>
    <t>X 18</t>
  </si>
  <si>
    <t>X 5</t>
  </si>
  <si>
    <t>X 13</t>
  </si>
  <si>
    <t>X 14</t>
  </si>
  <si>
    <t>X 16</t>
  </si>
  <si>
    <t>X 17</t>
  </si>
  <si>
    <t>X 19</t>
  </si>
  <si>
    <t>X 26</t>
  </si>
  <si>
    <t>X 27</t>
  </si>
  <si>
    <t>C 3</t>
  </si>
  <si>
    <t>C 4</t>
  </si>
  <si>
    <t>A 2</t>
  </si>
  <si>
    <t>A 4</t>
  </si>
  <si>
    <t>A 5</t>
  </si>
  <si>
    <t>A 6</t>
  </si>
  <si>
    <t>method</t>
  </si>
  <si>
    <t>favimat</t>
  </si>
  <si>
    <t>instron</t>
  </si>
  <si>
    <t>old_sample</t>
  </si>
  <si>
    <t>C</t>
  </si>
  <si>
    <t>A</t>
  </si>
  <si>
    <t>series</t>
  </si>
  <si>
    <t>CS_area_old</t>
  </si>
  <si>
    <t>CS_area_test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</si>
</sst>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"/>
  <sheetViews>
    <sheetView tabSelected="1" workbookViewId="0">
      <selection activeCell="G5" sqref="G5"/>
    </sheetView>
  </sheetViews>
  <sheetFormatPr defaultRowHeight="14.4" x14ac:dyDescent="0.3"/>
  <cols>
    <col min="1" max="3" width="15.77734375" customWidth="1"/>
    <col min="4" max="4" width="20" customWidth="1"/>
    <col min="5" max="5" width="22.44140625" customWidth="1"/>
    <col min="6" max="8" width="18.44140625" customWidth="1"/>
    <col min="9" max="13" width="15.77734375" customWidth="1"/>
  </cols>
  <sheetData>
    <row r="1" spans="1:14" x14ac:dyDescent="0.3">
      <c r="A1" s="1" t="s">
        <v>0</v>
      </c>
      <c r="B1" s="1" t="s">
        <v>118</v>
      </c>
      <c r="C1" s="1" t="s">
        <v>115</v>
      </c>
      <c r="D1" s="2" t="s">
        <v>1</v>
      </c>
      <c r="E1" s="2" t="s">
        <v>2</v>
      </c>
      <c r="F1" s="1" t="s">
        <v>119</v>
      </c>
      <c r="G1" s="1" t="s">
        <v>3</v>
      </c>
      <c r="H1" s="1" t="s">
        <v>120</v>
      </c>
      <c r="I1" s="1" t="s">
        <v>4</v>
      </c>
      <c r="J1" s="1" t="s">
        <v>5</v>
      </c>
      <c r="K1" s="1" t="s">
        <v>6</v>
      </c>
      <c r="L1" s="1" t="s">
        <v>112</v>
      </c>
      <c r="M1" s="1" t="s">
        <v>7</v>
      </c>
      <c r="N1" s="1" t="s">
        <v>34</v>
      </c>
    </row>
    <row r="2" spans="1:14" x14ac:dyDescent="0.3">
      <c r="A2">
        <v>1</v>
      </c>
      <c r="B2" t="str">
        <f>IF(D2&lt;AVERAGE($D$2:$D$34),"S1", "S2")</f>
        <v>S1</v>
      </c>
      <c r="C2" t="s">
        <v>8</v>
      </c>
      <c r="D2" s="3">
        <v>0.04</v>
      </c>
      <c r="E2" s="3">
        <v>2.6457513110645903E-3</v>
      </c>
      <c r="F2">
        <v>1.2566370614359172E-3</v>
      </c>
      <c r="G2">
        <f>(D2/2)^2 * PI()</f>
        <v>1.2566370614359172E-3</v>
      </c>
      <c r="H2">
        <f>F2-G2</f>
        <v>0</v>
      </c>
      <c r="I2">
        <v>1.1399999999999999</v>
      </c>
      <c r="J2">
        <v>246.47331318247507</v>
      </c>
      <c r="K2">
        <v>21.594158152105603</v>
      </c>
      <c r="L2" t="s">
        <v>113</v>
      </c>
      <c r="N2">
        <v>1</v>
      </c>
    </row>
    <row r="3" spans="1:14" x14ac:dyDescent="0.3">
      <c r="A3">
        <v>3</v>
      </c>
      <c r="B3" t="str">
        <f t="shared" ref="B3:B34" si="0">IF(D3&lt;AVERAGE($D$2:$D$34),"S1", "S2")</f>
        <v>S1</v>
      </c>
      <c r="C3" t="s">
        <v>9</v>
      </c>
      <c r="D3" s="3">
        <v>4.2444444444444437E-2</v>
      </c>
      <c r="E3" s="3">
        <v>2.6977356760397734E-3</v>
      </c>
      <c r="F3">
        <v>1.4149190320445581E-3</v>
      </c>
      <c r="G3">
        <f t="shared" ref="G3:G66" si="1">(D3/2)^2 * PI()</f>
        <v>1.4149190320445581E-3</v>
      </c>
      <c r="H3">
        <f t="shared" ref="H3:H66" si="2">F3-G3</f>
        <v>0</v>
      </c>
      <c r="I3">
        <v>1.41</v>
      </c>
      <c r="J3">
        <v>363.05194033450749</v>
      </c>
      <c r="K3">
        <v>26.066110693145063</v>
      </c>
      <c r="L3" t="s">
        <v>113</v>
      </c>
      <c r="N3">
        <v>1</v>
      </c>
    </row>
    <row r="4" spans="1:14" x14ac:dyDescent="0.3">
      <c r="A4">
        <v>4</v>
      </c>
      <c r="B4" t="str">
        <f t="shared" si="0"/>
        <v>S1</v>
      </c>
      <c r="C4" t="s">
        <v>10</v>
      </c>
      <c r="D4" s="3">
        <v>3.4666666666666672E-2</v>
      </c>
      <c r="E4" s="3">
        <v>1.3228756555322941E-3</v>
      </c>
      <c r="F4">
        <v>9.4387405947853368E-4</v>
      </c>
      <c r="G4">
        <f t="shared" si="1"/>
        <v>9.4387405947853368E-4</v>
      </c>
      <c r="H4">
        <f t="shared" si="2"/>
        <v>0</v>
      </c>
      <c r="I4">
        <v>1.32</v>
      </c>
      <c r="J4">
        <v>328.231183905151</v>
      </c>
      <c r="K4">
        <v>24.94492104370029</v>
      </c>
      <c r="L4" t="s">
        <v>113</v>
      </c>
      <c r="N4">
        <v>1</v>
      </c>
    </row>
    <row r="5" spans="1:14" x14ac:dyDescent="0.3">
      <c r="A5">
        <v>5</v>
      </c>
      <c r="B5" t="str">
        <f t="shared" si="0"/>
        <v>S1</v>
      </c>
      <c r="C5" t="s">
        <v>11</v>
      </c>
      <c r="D5" s="3">
        <v>3.7222222222222219E-2</v>
      </c>
      <c r="E5" s="3">
        <v>2.1666666666666666E-3</v>
      </c>
      <c r="F5">
        <v>1.0881643072503532E-3</v>
      </c>
      <c r="G5">
        <f t="shared" si="1"/>
        <v>1.0881643072503532E-3</v>
      </c>
      <c r="H5">
        <f t="shared" si="2"/>
        <v>0</v>
      </c>
      <c r="I5">
        <v>0.96</v>
      </c>
      <c r="J5">
        <v>401.08299554764534</v>
      </c>
      <c r="K5">
        <v>41.311729947835417</v>
      </c>
      <c r="L5" t="s">
        <v>113</v>
      </c>
      <c r="N5">
        <v>1</v>
      </c>
    </row>
    <row r="6" spans="1:14" x14ac:dyDescent="0.3">
      <c r="A6">
        <v>6</v>
      </c>
      <c r="B6" t="str">
        <f t="shared" si="0"/>
        <v>S1</v>
      </c>
      <c r="C6" t="s">
        <v>12</v>
      </c>
      <c r="D6" s="3">
        <v>2.2888888888888886E-2</v>
      </c>
      <c r="E6" s="3">
        <v>1.69148192751537E-3</v>
      </c>
      <c r="F6">
        <v>4.1147106743128528E-4</v>
      </c>
      <c r="G6">
        <f t="shared" si="1"/>
        <v>4.1147106743128528E-4</v>
      </c>
      <c r="H6">
        <f t="shared" si="2"/>
        <v>0</v>
      </c>
      <c r="I6">
        <v>1.32</v>
      </c>
      <c r="J6">
        <v>862.30339891213112</v>
      </c>
      <c r="K6">
        <v>65.394998895016101</v>
      </c>
      <c r="L6" t="s">
        <v>113</v>
      </c>
      <c r="M6" t="s">
        <v>13</v>
      </c>
      <c r="N6">
        <v>1</v>
      </c>
    </row>
    <row r="7" spans="1:14" x14ac:dyDescent="0.3">
      <c r="A7">
        <v>7</v>
      </c>
      <c r="B7" t="str">
        <f t="shared" si="0"/>
        <v>S1</v>
      </c>
      <c r="C7" t="s">
        <v>14</v>
      </c>
      <c r="D7" s="3">
        <v>3.6222222222222218E-2</v>
      </c>
      <c r="E7" s="3">
        <v>2.6822461565718463E-3</v>
      </c>
      <c r="F7">
        <v>1.0304811754719406E-3</v>
      </c>
      <c r="G7">
        <f t="shared" si="1"/>
        <v>1.0304811754719406E-3</v>
      </c>
      <c r="H7">
        <f t="shared" si="2"/>
        <v>0</v>
      </c>
      <c r="I7">
        <v>0.93</v>
      </c>
      <c r="J7">
        <v>235.54355555193663</v>
      </c>
      <c r="K7">
        <v>25.082338613260362</v>
      </c>
      <c r="L7" t="s">
        <v>113</v>
      </c>
      <c r="N7">
        <v>1</v>
      </c>
    </row>
    <row r="8" spans="1:14" x14ac:dyDescent="0.3">
      <c r="A8">
        <v>8</v>
      </c>
      <c r="B8" t="str">
        <f t="shared" si="0"/>
        <v>S1</v>
      </c>
      <c r="C8" t="s">
        <v>15</v>
      </c>
      <c r="D8" s="3">
        <v>3.3888888888888892E-2</v>
      </c>
      <c r="E8" s="3">
        <v>1.7638342073763931E-3</v>
      </c>
      <c r="F8">
        <v>9.0199585370429188E-4</v>
      </c>
      <c r="G8">
        <f t="shared" si="1"/>
        <v>9.0199585370429188E-4</v>
      </c>
      <c r="H8">
        <f t="shared" si="2"/>
        <v>0</v>
      </c>
      <c r="I8">
        <v>1.44</v>
      </c>
      <c r="J8">
        <v>366.33649549826941</v>
      </c>
      <c r="K8">
        <v>25.707579985348239</v>
      </c>
      <c r="L8" t="s">
        <v>113</v>
      </c>
      <c r="N8">
        <v>1</v>
      </c>
    </row>
    <row r="9" spans="1:14" x14ac:dyDescent="0.3">
      <c r="A9">
        <v>9</v>
      </c>
      <c r="B9" t="str">
        <f t="shared" si="0"/>
        <v>S1</v>
      </c>
      <c r="C9" t="s">
        <v>16</v>
      </c>
      <c r="D9" s="3">
        <v>3.9666666666666663E-2</v>
      </c>
      <c r="E9" s="3">
        <v>2.1213203435596424E-3</v>
      </c>
      <c r="F9">
        <v>1.2357803768745848E-3</v>
      </c>
      <c r="G9">
        <f t="shared" si="1"/>
        <v>1.2357803768745848E-3</v>
      </c>
      <c r="H9">
        <f t="shared" si="2"/>
        <v>0</v>
      </c>
      <c r="I9">
        <v>1.5</v>
      </c>
      <c r="J9">
        <v>311.07420638304359</v>
      </c>
      <c r="K9">
        <v>21.08434245619274</v>
      </c>
      <c r="L9" t="s">
        <v>113</v>
      </c>
      <c r="N9">
        <v>1</v>
      </c>
    </row>
    <row r="10" spans="1:14" x14ac:dyDescent="0.3">
      <c r="A10">
        <v>10</v>
      </c>
      <c r="B10" t="str">
        <f t="shared" si="0"/>
        <v>S2</v>
      </c>
      <c r="C10" t="s">
        <v>17</v>
      </c>
      <c r="D10" s="3">
        <v>4.5888888888888882E-2</v>
      </c>
      <c r="E10" s="3">
        <v>4.6755867130351793E-3</v>
      </c>
      <c r="F10">
        <v>1.6538836954634484E-3</v>
      </c>
      <c r="G10">
        <f t="shared" si="1"/>
        <v>1.6538836954634484E-3</v>
      </c>
      <c r="H10">
        <f t="shared" si="2"/>
        <v>0</v>
      </c>
      <c r="I10">
        <v>0.84</v>
      </c>
      <c r="J10">
        <v>189.50111235734505</v>
      </c>
      <c r="K10">
        <v>22.862520565210851</v>
      </c>
      <c r="L10" t="s">
        <v>113</v>
      </c>
      <c r="M10" t="s">
        <v>18</v>
      </c>
      <c r="N10">
        <v>1</v>
      </c>
    </row>
    <row r="11" spans="1:14" x14ac:dyDescent="0.3">
      <c r="A11">
        <v>11</v>
      </c>
      <c r="B11" t="str">
        <f t="shared" si="0"/>
        <v>S1</v>
      </c>
      <c r="C11" t="s">
        <v>19</v>
      </c>
      <c r="D11" s="3">
        <v>3.6333333333333336E-2</v>
      </c>
      <c r="E11" s="3">
        <v>2.6457513110645895E-3</v>
      </c>
      <c r="F11">
        <v>1.0368128421472315E-3</v>
      </c>
      <c r="G11">
        <f t="shared" si="1"/>
        <v>1.0368128421472315E-3</v>
      </c>
      <c r="H11">
        <f t="shared" si="2"/>
        <v>0</v>
      </c>
      <c r="I11">
        <v>0.69</v>
      </c>
      <c r="J11">
        <v>162.92361854832478</v>
      </c>
      <c r="K11">
        <v>22.88066438059986</v>
      </c>
      <c r="L11" t="s">
        <v>113</v>
      </c>
      <c r="N11">
        <v>1</v>
      </c>
    </row>
    <row r="12" spans="1:14" x14ac:dyDescent="0.3">
      <c r="A12">
        <v>12</v>
      </c>
      <c r="B12" t="str">
        <f t="shared" si="0"/>
        <v>S2</v>
      </c>
      <c r="C12" t="s">
        <v>20</v>
      </c>
      <c r="D12" s="3">
        <v>4.6777777777777772E-2</v>
      </c>
      <c r="E12" s="3">
        <v>2.2236106773543892E-3</v>
      </c>
      <c r="F12">
        <v>1.7185772330707049E-3</v>
      </c>
      <c r="G12">
        <f t="shared" si="1"/>
        <v>1.7185772330707049E-3</v>
      </c>
      <c r="H12">
        <f t="shared" si="2"/>
        <v>0</v>
      </c>
      <c r="I12">
        <v>1.68</v>
      </c>
      <c r="J12">
        <v>472.97181898985315</v>
      </c>
      <c r="K12">
        <v>29.270179379141904</v>
      </c>
      <c r="L12" t="s">
        <v>113</v>
      </c>
      <c r="M12" t="s">
        <v>18</v>
      </c>
      <c r="N12">
        <v>1</v>
      </c>
    </row>
    <row r="13" spans="1:14" x14ac:dyDescent="0.3">
      <c r="A13">
        <v>14</v>
      </c>
      <c r="B13" t="str">
        <f t="shared" si="0"/>
        <v>S1</v>
      </c>
      <c r="C13" t="s">
        <v>21</v>
      </c>
      <c r="D13" s="3">
        <v>0.04</v>
      </c>
      <c r="E13" s="3">
        <v>1.118033988749896E-3</v>
      </c>
      <c r="F13">
        <v>1.2566370614359172E-3</v>
      </c>
      <c r="G13">
        <f t="shared" si="1"/>
        <v>1.2566370614359172E-3</v>
      </c>
      <c r="H13">
        <f t="shared" si="2"/>
        <v>0</v>
      </c>
      <c r="I13">
        <v>0.93</v>
      </c>
      <c r="J13">
        <v>253.60552364725217</v>
      </c>
      <c r="K13">
        <v>26.905943325371005</v>
      </c>
      <c r="L13" t="s">
        <v>113</v>
      </c>
      <c r="N13">
        <v>1</v>
      </c>
    </row>
    <row r="14" spans="1:14" x14ac:dyDescent="0.3">
      <c r="A14">
        <v>15</v>
      </c>
      <c r="B14" t="str">
        <f t="shared" si="0"/>
        <v>S1</v>
      </c>
      <c r="C14" t="s">
        <v>22</v>
      </c>
      <c r="D14" s="3">
        <v>2.0999999999999998E-2</v>
      </c>
      <c r="E14" s="3">
        <v>1.1180339887498943E-3</v>
      </c>
      <c r="F14">
        <v>3.4636059005827463E-4</v>
      </c>
      <c r="G14">
        <f t="shared" si="1"/>
        <v>3.4636059005827463E-4</v>
      </c>
      <c r="H14">
        <f t="shared" si="2"/>
        <v>0</v>
      </c>
      <c r="I14">
        <v>1.53</v>
      </c>
      <c r="J14">
        <v>1059.1202074643659</v>
      </c>
      <c r="K14">
        <v>70.075043264159291</v>
      </c>
      <c r="L14" t="s">
        <v>113</v>
      </c>
      <c r="M14" t="s">
        <v>13</v>
      </c>
      <c r="N14">
        <v>1</v>
      </c>
    </row>
    <row r="15" spans="1:14" x14ac:dyDescent="0.3">
      <c r="A15">
        <v>17</v>
      </c>
      <c r="B15" t="str">
        <f t="shared" si="0"/>
        <v>S1</v>
      </c>
      <c r="C15" t="s">
        <v>23</v>
      </c>
      <c r="D15" s="3">
        <v>3.833333333333333E-2</v>
      </c>
      <c r="E15" s="3">
        <v>1.9364916731037087E-3</v>
      </c>
      <c r="F15">
        <v>1.1540989678812503E-3</v>
      </c>
      <c r="G15">
        <f t="shared" si="1"/>
        <v>1.1540989678812503E-3</v>
      </c>
      <c r="H15">
        <f t="shared" si="2"/>
        <v>0</v>
      </c>
      <c r="I15">
        <v>0.69</v>
      </c>
      <c r="J15">
        <v>176.28002940986357</v>
      </c>
      <c r="K15">
        <v>24.758985355391612</v>
      </c>
      <c r="L15" t="s">
        <v>113</v>
      </c>
      <c r="N15">
        <v>1</v>
      </c>
    </row>
    <row r="16" spans="1:14" x14ac:dyDescent="0.3">
      <c r="A16">
        <v>18</v>
      </c>
      <c r="B16" t="str">
        <f t="shared" si="0"/>
        <v>S1</v>
      </c>
      <c r="C16" t="s">
        <v>24</v>
      </c>
      <c r="D16" s="3">
        <v>4.2999999999999997E-2</v>
      </c>
      <c r="E16" s="3">
        <v>1.4999999999999985E-3</v>
      </c>
      <c r="F16">
        <v>1.4522012041218817E-3</v>
      </c>
      <c r="G16">
        <f t="shared" si="1"/>
        <v>1.4522012041218817E-3</v>
      </c>
      <c r="H16">
        <f t="shared" si="2"/>
        <v>0</v>
      </c>
      <c r="I16">
        <v>1.1100000000000001</v>
      </c>
      <c r="J16">
        <v>287.36210851191095</v>
      </c>
      <c r="K16">
        <v>25.714706523989104</v>
      </c>
      <c r="L16" t="s">
        <v>113</v>
      </c>
      <c r="N16">
        <v>1</v>
      </c>
    </row>
    <row r="17" spans="1:14" x14ac:dyDescent="0.3">
      <c r="A17">
        <v>19</v>
      </c>
      <c r="B17" t="str">
        <f t="shared" si="0"/>
        <v>S1</v>
      </c>
      <c r="C17" t="s">
        <v>25</v>
      </c>
      <c r="D17" s="3">
        <v>3.177777777777778E-2</v>
      </c>
      <c r="E17" s="3">
        <v>1.6414763002993516E-3</v>
      </c>
      <c r="F17">
        <v>7.9311639720071217E-4</v>
      </c>
      <c r="G17">
        <f t="shared" si="1"/>
        <v>7.9311639720071217E-4</v>
      </c>
      <c r="H17">
        <f t="shared" si="2"/>
        <v>0</v>
      </c>
      <c r="I17">
        <v>0.9</v>
      </c>
      <c r="J17">
        <v>264.21720788981293</v>
      </c>
      <c r="K17">
        <v>29.12360457413147</v>
      </c>
      <c r="L17" t="s">
        <v>113</v>
      </c>
      <c r="N17">
        <v>1</v>
      </c>
    </row>
    <row r="18" spans="1:14" x14ac:dyDescent="0.3">
      <c r="A18">
        <v>20</v>
      </c>
      <c r="B18" t="str">
        <f t="shared" si="0"/>
        <v>S1</v>
      </c>
      <c r="C18" t="s">
        <v>26</v>
      </c>
      <c r="D18" s="3">
        <v>3.3888888888888885E-2</v>
      </c>
      <c r="E18" s="3">
        <v>1.7638342073763933E-3</v>
      </c>
      <c r="F18">
        <v>9.0199585370429156E-4</v>
      </c>
      <c r="G18">
        <f t="shared" si="1"/>
        <v>9.0199585370429156E-4</v>
      </c>
      <c r="H18">
        <f t="shared" si="2"/>
        <v>0</v>
      </c>
      <c r="I18">
        <v>1.08</v>
      </c>
      <c r="J18">
        <v>284.45175102114695</v>
      </c>
      <c r="K18">
        <v>26.250619559679848</v>
      </c>
      <c r="L18" t="s">
        <v>113</v>
      </c>
      <c r="N18">
        <v>1</v>
      </c>
    </row>
    <row r="19" spans="1:14" x14ac:dyDescent="0.3">
      <c r="A19">
        <v>4</v>
      </c>
      <c r="B19" t="str">
        <f t="shared" si="0"/>
        <v>S1</v>
      </c>
      <c r="C19" t="s">
        <v>27</v>
      </c>
      <c r="D19" s="3">
        <v>4.1999999999999996E-2</v>
      </c>
      <c r="E19" s="3">
        <v>1.8027756377319932E-3</v>
      </c>
      <c r="F19">
        <v>1.3854423602330985E-3</v>
      </c>
      <c r="G19">
        <f t="shared" si="1"/>
        <v>1.3854423602330985E-3</v>
      </c>
      <c r="H19">
        <f t="shared" si="2"/>
        <v>0</v>
      </c>
      <c r="I19">
        <v>1.35</v>
      </c>
      <c r="J19">
        <v>361.87127980961139</v>
      </c>
      <c r="K19">
        <v>27.104134927958121</v>
      </c>
      <c r="L19" t="s">
        <v>113</v>
      </c>
      <c r="N19">
        <v>2</v>
      </c>
    </row>
    <row r="20" spans="1:14" x14ac:dyDescent="0.3">
      <c r="A20">
        <v>9</v>
      </c>
      <c r="B20" t="str">
        <f t="shared" si="0"/>
        <v>S1</v>
      </c>
      <c r="C20" t="s">
        <v>28</v>
      </c>
      <c r="D20" s="3">
        <v>4.4111111111111101E-2</v>
      </c>
      <c r="E20" s="3">
        <v>1.5365907428821479E-3</v>
      </c>
      <c r="F20">
        <v>1.5282199893198564E-3</v>
      </c>
      <c r="G20">
        <f t="shared" si="1"/>
        <v>1.5282199893198564E-3</v>
      </c>
      <c r="H20">
        <f t="shared" si="2"/>
        <v>0</v>
      </c>
      <c r="I20">
        <v>1.95</v>
      </c>
      <c r="J20">
        <v>526.8615812035946</v>
      </c>
      <c r="K20">
        <v>27.993875423027184</v>
      </c>
      <c r="L20" t="s">
        <v>113</v>
      </c>
      <c r="M20" t="s">
        <v>18</v>
      </c>
      <c r="N20">
        <v>2</v>
      </c>
    </row>
    <row r="21" spans="1:14" x14ac:dyDescent="0.3">
      <c r="A21">
        <v>15</v>
      </c>
      <c r="B21" t="str">
        <f t="shared" si="0"/>
        <v>S2</v>
      </c>
      <c r="C21" t="s">
        <v>29</v>
      </c>
      <c r="D21" s="3">
        <v>4.6777777777777772E-2</v>
      </c>
      <c r="E21" s="3">
        <v>1.8559214542766757E-3</v>
      </c>
      <c r="F21">
        <v>1.7185772330707049E-3</v>
      </c>
      <c r="G21">
        <f t="shared" si="1"/>
        <v>1.7185772330707049E-3</v>
      </c>
      <c r="H21">
        <f t="shared" si="2"/>
        <v>0</v>
      </c>
      <c r="I21">
        <v>0.84</v>
      </c>
      <c r="J21">
        <v>269.22543316443694</v>
      </c>
      <c r="K21">
        <v>31.5644754538984</v>
      </c>
      <c r="L21" t="s">
        <v>113</v>
      </c>
      <c r="N21">
        <v>2</v>
      </c>
    </row>
    <row r="22" spans="1:14" x14ac:dyDescent="0.3">
      <c r="A22">
        <v>16</v>
      </c>
      <c r="B22" t="str">
        <f t="shared" si="0"/>
        <v>S1</v>
      </c>
      <c r="C22" t="s">
        <v>30</v>
      </c>
      <c r="D22" s="3">
        <v>3.5999999999999997E-2</v>
      </c>
      <c r="E22" s="3">
        <v>1.4142135623730933E-3</v>
      </c>
      <c r="F22">
        <v>1.0178760197630929E-3</v>
      </c>
      <c r="G22">
        <f t="shared" si="1"/>
        <v>1.0178760197630929E-3</v>
      </c>
      <c r="H22">
        <f t="shared" si="2"/>
        <v>0</v>
      </c>
      <c r="I22">
        <v>1.23</v>
      </c>
      <c r="J22">
        <v>288.91652253331046</v>
      </c>
      <c r="K22">
        <v>23.5457785309762</v>
      </c>
      <c r="L22" t="s">
        <v>113</v>
      </c>
      <c r="M22" s="3"/>
      <c r="N22">
        <v>2</v>
      </c>
    </row>
    <row r="23" spans="1:14" x14ac:dyDescent="0.3">
      <c r="A23">
        <v>17</v>
      </c>
      <c r="B23" t="str">
        <f t="shared" si="0"/>
        <v>S1</v>
      </c>
      <c r="C23" t="s">
        <v>31</v>
      </c>
      <c r="D23" s="3">
        <v>3.8777777777777772E-2</v>
      </c>
      <c r="E23" s="3">
        <v>9.7182531580755095E-4</v>
      </c>
      <c r="F23">
        <v>1.1810158234564513E-3</v>
      </c>
      <c r="G23">
        <f t="shared" si="1"/>
        <v>1.1810158234564513E-3</v>
      </c>
      <c r="H23">
        <f t="shared" si="2"/>
        <v>0</v>
      </c>
      <c r="I23">
        <v>1.17</v>
      </c>
      <c r="J23">
        <v>328.88746474472833</v>
      </c>
      <c r="K23">
        <v>28.069649315094384</v>
      </c>
      <c r="L23" t="s">
        <v>113</v>
      </c>
      <c r="M23" s="3"/>
      <c r="N23">
        <v>2</v>
      </c>
    </row>
    <row r="24" spans="1:14" x14ac:dyDescent="0.3">
      <c r="A24">
        <v>18</v>
      </c>
      <c r="B24" t="str">
        <f t="shared" si="0"/>
        <v>S1</v>
      </c>
      <c r="C24" t="s">
        <v>32</v>
      </c>
      <c r="D24" s="3">
        <v>4.2222222222222217E-2</v>
      </c>
      <c r="E24" s="3">
        <v>2.3863035105460579E-3</v>
      </c>
      <c r="F24">
        <v>1.4001419110443395E-3</v>
      </c>
      <c r="G24">
        <f t="shared" si="1"/>
        <v>1.4001419110443395E-3</v>
      </c>
      <c r="H24">
        <f t="shared" si="2"/>
        <v>0</v>
      </c>
      <c r="I24">
        <v>1.56</v>
      </c>
      <c r="J24">
        <v>444.12069597730073</v>
      </c>
      <c r="K24">
        <v>29.090362762393777</v>
      </c>
      <c r="L24" t="s">
        <v>113</v>
      </c>
      <c r="N24">
        <v>2</v>
      </c>
    </row>
    <row r="25" spans="1:14" x14ac:dyDescent="0.3">
      <c r="A25">
        <v>20</v>
      </c>
      <c r="B25" t="str">
        <f t="shared" si="0"/>
        <v>S1</v>
      </c>
      <c r="C25" t="s">
        <v>33</v>
      </c>
      <c r="D25" s="3">
        <v>4.1666666666666664E-2</v>
      </c>
      <c r="E25" s="3">
        <v>1.3228756555322941E-3</v>
      </c>
      <c r="F25">
        <v>1.3635384781205699E-3</v>
      </c>
      <c r="G25">
        <f t="shared" si="1"/>
        <v>1.3635384781205699E-3</v>
      </c>
      <c r="H25">
        <f t="shared" si="2"/>
        <v>0</v>
      </c>
      <c r="I25">
        <v>1.23</v>
      </c>
      <c r="J25">
        <v>363.7252691860931</v>
      </c>
      <c r="K25">
        <v>29.758806538197135</v>
      </c>
      <c r="L25" t="s">
        <v>113</v>
      </c>
      <c r="N25">
        <v>2</v>
      </c>
    </row>
    <row r="26" spans="1:14" x14ac:dyDescent="0.3">
      <c r="A26">
        <v>1</v>
      </c>
      <c r="B26" t="str">
        <f t="shared" si="0"/>
        <v>S2</v>
      </c>
      <c r="C26" s="3" t="s">
        <v>35</v>
      </c>
      <c r="D26" s="3">
        <v>5.8666666666666673E-2</v>
      </c>
      <c r="E26" s="3">
        <v>1.224744871391587E-3</v>
      </c>
      <c r="F26">
        <v>2.7031659454888179E-3</v>
      </c>
      <c r="G26">
        <f t="shared" si="1"/>
        <v>2.7031659454888179E-3</v>
      </c>
      <c r="H26">
        <f t="shared" si="2"/>
        <v>0</v>
      </c>
      <c r="I26">
        <v>0.63</v>
      </c>
      <c r="J26">
        <v>178.21329127201849</v>
      </c>
      <c r="K26">
        <v>27.607217016561663</v>
      </c>
      <c r="L26" t="s">
        <v>113</v>
      </c>
      <c r="N26">
        <v>2</v>
      </c>
    </row>
    <row r="27" spans="1:14" x14ac:dyDescent="0.3">
      <c r="A27">
        <v>2</v>
      </c>
      <c r="B27" t="str">
        <f t="shared" si="0"/>
        <v>S2</v>
      </c>
      <c r="C27" s="3" t="s">
        <v>36</v>
      </c>
      <c r="D27" s="3">
        <v>5.8777777777777783E-2</v>
      </c>
      <c r="E27" s="3">
        <v>2.1081851067789184E-3</v>
      </c>
      <c r="F27">
        <v>2.7134149067074734E-3</v>
      </c>
      <c r="G27">
        <f t="shared" si="1"/>
        <v>2.7134149067074734E-3</v>
      </c>
      <c r="H27">
        <f t="shared" si="2"/>
        <v>0</v>
      </c>
      <c r="I27">
        <v>1.47</v>
      </c>
      <c r="J27">
        <v>366.16751737596087</v>
      </c>
      <c r="K27">
        <v>25.454124184719092</v>
      </c>
      <c r="L27" t="s">
        <v>113</v>
      </c>
      <c r="N27">
        <v>2</v>
      </c>
    </row>
    <row r="28" spans="1:14" x14ac:dyDescent="0.3">
      <c r="A28">
        <v>3</v>
      </c>
      <c r="B28" t="str">
        <f t="shared" si="0"/>
        <v>S2</v>
      </c>
      <c r="C28" s="3" t="s">
        <v>37</v>
      </c>
      <c r="D28" s="3">
        <v>7.7333333333333323E-2</v>
      </c>
      <c r="E28" s="3">
        <v>2.5495097567963948E-3</v>
      </c>
      <c r="F28">
        <v>4.697030082967138E-3</v>
      </c>
      <c r="G28">
        <f t="shared" si="1"/>
        <v>4.697030082967138E-3</v>
      </c>
      <c r="H28">
        <f t="shared" si="2"/>
        <v>0</v>
      </c>
      <c r="I28">
        <v>0.84</v>
      </c>
      <c r="J28">
        <v>199.76808396493396</v>
      </c>
      <c r="K28">
        <v>24.469824116475465</v>
      </c>
      <c r="L28" t="s">
        <v>113</v>
      </c>
      <c r="N28">
        <v>2</v>
      </c>
    </row>
    <row r="29" spans="1:14" x14ac:dyDescent="0.3">
      <c r="A29">
        <v>5</v>
      </c>
      <c r="B29" t="str">
        <f t="shared" si="0"/>
        <v>S2</v>
      </c>
      <c r="C29" s="3" t="s">
        <v>38</v>
      </c>
      <c r="D29" s="3">
        <v>6.6444444444444459E-2</v>
      </c>
      <c r="E29" s="3">
        <v>2.0682789409984781E-3</v>
      </c>
      <c r="F29">
        <v>3.4674262323898912E-3</v>
      </c>
      <c r="G29">
        <f t="shared" si="1"/>
        <v>3.4674262323898912E-3</v>
      </c>
      <c r="H29">
        <f t="shared" si="2"/>
        <v>0</v>
      </c>
      <c r="I29">
        <v>1.23</v>
      </c>
      <c r="J29">
        <v>172.32207982350329</v>
      </c>
      <c r="K29">
        <v>14.06223218890819</v>
      </c>
      <c r="L29" t="s">
        <v>113</v>
      </c>
      <c r="N29">
        <v>2</v>
      </c>
    </row>
    <row r="30" spans="1:14" x14ac:dyDescent="0.3">
      <c r="A30">
        <v>7</v>
      </c>
      <c r="B30" t="str">
        <f t="shared" si="0"/>
        <v>S2</v>
      </c>
      <c r="C30" s="3" t="s">
        <v>39</v>
      </c>
      <c r="D30" s="3">
        <v>5.255555555555555E-2</v>
      </c>
      <c r="E30" s="3">
        <v>1.2360330811826098E-3</v>
      </c>
      <c r="F30">
        <v>2.169337601219107E-3</v>
      </c>
      <c r="G30">
        <f t="shared" si="1"/>
        <v>2.169337601219107E-3</v>
      </c>
      <c r="H30">
        <f t="shared" si="2"/>
        <v>0</v>
      </c>
      <c r="I30">
        <v>1.17</v>
      </c>
      <c r="J30">
        <v>264.20991351364574</v>
      </c>
      <c r="K30">
        <v>22.698020546351628</v>
      </c>
      <c r="L30" t="s">
        <v>113</v>
      </c>
      <c r="N30">
        <v>2</v>
      </c>
    </row>
    <row r="31" spans="1:14" x14ac:dyDescent="0.3">
      <c r="A31">
        <v>8</v>
      </c>
      <c r="B31" t="str">
        <f t="shared" si="0"/>
        <v>S2</v>
      </c>
      <c r="C31" s="3" t="s">
        <v>40</v>
      </c>
      <c r="D31" s="3">
        <v>5.6555555555555553E-2</v>
      </c>
      <c r="E31" s="3">
        <v>2.0682789409984768E-3</v>
      </c>
      <c r="F31">
        <v>2.5121202663107938E-3</v>
      </c>
      <c r="G31">
        <f t="shared" si="1"/>
        <v>2.5121202663107938E-3</v>
      </c>
      <c r="H31">
        <f t="shared" si="2"/>
        <v>0</v>
      </c>
      <c r="I31">
        <v>0.72</v>
      </c>
      <c r="J31">
        <v>263.06841629462014</v>
      </c>
      <c r="K31">
        <v>35.954754188306111</v>
      </c>
      <c r="L31" t="s">
        <v>113</v>
      </c>
      <c r="N31">
        <v>2</v>
      </c>
    </row>
    <row r="32" spans="1:14" x14ac:dyDescent="0.3">
      <c r="A32">
        <v>11</v>
      </c>
      <c r="B32" t="str">
        <f t="shared" si="0"/>
        <v>S2</v>
      </c>
      <c r="C32" s="3" t="s">
        <v>41</v>
      </c>
      <c r="D32" s="3">
        <v>6.1222222222222213E-2</v>
      </c>
      <c r="E32" s="3">
        <v>1.092906420717001E-3</v>
      </c>
      <c r="F32">
        <v>2.9437983679707238E-3</v>
      </c>
      <c r="G32">
        <f t="shared" si="1"/>
        <v>2.9437983679707238E-3</v>
      </c>
      <c r="H32">
        <f t="shared" si="2"/>
        <v>0</v>
      </c>
      <c r="I32">
        <v>0.69</v>
      </c>
      <c r="J32">
        <v>183.67643853703544</v>
      </c>
      <c r="K32">
        <v>25.841981625179663</v>
      </c>
      <c r="L32" t="s">
        <v>113</v>
      </c>
      <c r="N32">
        <v>2</v>
      </c>
    </row>
    <row r="33" spans="1:14" x14ac:dyDescent="0.3">
      <c r="A33">
        <v>14</v>
      </c>
      <c r="B33" t="str">
        <f t="shared" si="0"/>
        <v>S2</v>
      </c>
      <c r="C33" s="3" t="s">
        <v>42</v>
      </c>
      <c r="D33" s="3">
        <v>6.0444444444444446E-2</v>
      </c>
      <c r="E33" s="3">
        <v>2.9627314724385307E-3</v>
      </c>
      <c r="F33">
        <v>2.8694764306566329E-3</v>
      </c>
      <c r="G33">
        <f t="shared" si="1"/>
        <v>2.8694764306566329E-3</v>
      </c>
      <c r="H33">
        <f t="shared" si="2"/>
        <v>0</v>
      </c>
      <c r="I33">
        <v>0.54</v>
      </c>
      <c r="J33">
        <v>155.12143443469307</v>
      </c>
      <c r="K33">
        <v>27.323267542671847</v>
      </c>
      <c r="L33" t="s">
        <v>113</v>
      </c>
      <c r="N33">
        <v>2</v>
      </c>
    </row>
    <row r="34" spans="1:14" x14ac:dyDescent="0.3">
      <c r="A34">
        <v>19</v>
      </c>
      <c r="B34" t="str">
        <f t="shared" si="0"/>
        <v>S2</v>
      </c>
      <c r="C34" s="3" t="s">
        <v>43</v>
      </c>
      <c r="D34" s="3">
        <v>7.1222222222222228E-2</v>
      </c>
      <c r="E34" s="3">
        <v>1.9220937657784614E-3</v>
      </c>
      <c r="F34">
        <v>3.984014602159346E-3</v>
      </c>
      <c r="G34">
        <f t="shared" si="1"/>
        <v>3.984014602159346E-3</v>
      </c>
      <c r="H34">
        <f t="shared" si="2"/>
        <v>0</v>
      </c>
      <c r="I34">
        <v>0.87</v>
      </c>
      <c r="J34">
        <v>213.06894797521835</v>
      </c>
      <c r="K34">
        <v>24.435472130301214</v>
      </c>
      <c r="L34" t="s">
        <v>113</v>
      </c>
      <c r="N34">
        <v>2</v>
      </c>
    </row>
    <row r="35" spans="1:14" x14ac:dyDescent="0.3">
      <c r="A35">
        <v>3</v>
      </c>
      <c r="B35" t="str">
        <f>IF(D35&lt;AVERAGE($D$35:$D$72), "L1","L2")</f>
        <v>L1</v>
      </c>
      <c r="C35" t="s">
        <v>44</v>
      </c>
      <c r="D35" s="3">
        <v>0.18255555555555555</v>
      </c>
      <c r="E35" s="3">
        <v>7.9860990338072955E-3</v>
      </c>
      <c r="F35" s="4">
        <f>(PI()*(D35^2))/4</f>
        <v>2.6174596133149118E-2</v>
      </c>
      <c r="G35">
        <f t="shared" si="1"/>
        <v>2.6174596133149118E-2</v>
      </c>
      <c r="H35">
        <f t="shared" si="2"/>
        <v>0</v>
      </c>
      <c r="I35" s="5">
        <v>1.7423999999999999</v>
      </c>
      <c r="J35" s="6">
        <v>390.22951674368858</v>
      </c>
      <c r="K35" s="6">
        <v>32.252038189113591</v>
      </c>
      <c r="L35" s="6" t="s">
        <v>114</v>
      </c>
    </row>
    <row r="36" spans="1:14" x14ac:dyDescent="0.3">
      <c r="A36">
        <v>4</v>
      </c>
      <c r="B36" t="str">
        <f t="shared" ref="B36:B72" si="3">IF(D36&lt;AVERAGE($D$35:$D$72), "L1","L2")</f>
        <v>L1</v>
      </c>
      <c r="C36" t="s">
        <v>45</v>
      </c>
      <c r="D36" s="3">
        <v>0.19422222222222221</v>
      </c>
      <c r="E36" s="3">
        <v>3.0731814857642981E-3</v>
      </c>
      <c r="F36" s="4">
        <f t="shared" ref="F36:F72" si="4">(PI()*(D36^2))/4</f>
        <v>2.962700283769823E-2</v>
      </c>
      <c r="G36">
        <f t="shared" si="1"/>
        <v>2.962700283769823E-2</v>
      </c>
      <c r="H36">
        <f t="shared" si="2"/>
        <v>0</v>
      </c>
      <c r="I36" s="5">
        <v>1.36</v>
      </c>
      <c r="J36" s="6">
        <v>301.66061848915507</v>
      </c>
      <c r="K36" s="6">
        <v>26.963167015998369</v>
      </c>
      <c r="L36" s="6" t="s">
        <v>114</v>
      </c>
    </row>
    <row r="37" spans="1:14" x14ac:dyDescent="0.3">
      <c r="A37">
        <v>7</v>
      </c>
      <c r="B37" t="str">
        <f t="shared" si="3"/>
        <v>L1</v>
      </c>
      <c r="C37" t="s">
        <v>46</v>
      </c>
      <c r="D37" s="3">
        <v>0.2048888888888889</v>
      </c>
      <c r="E37" s="3">
        <v>4.6218082079540071E-3</v>
      </c>
      <c r="F37" s="4">
        <f t="shared" si="4"/>
        <v>3.2970588263385503E-2</v>
      </c>
      <c r="G37">
        <f t="shared" si="1"/>
        <v>3.2970588263385503E-2</v>
      </c>
      <c r="H37">
        <f t="shared" si="2"/>
        <v>0</v>
      </c>
      <c r="I37" s="5">
        <v>1.9767999999999997</v>
      </c>
      <c r="J37" s="6">
        <v>363.52096311578816</v>
      </c>
      <c r="K37" s="6">
        <v>25.246929866657489</v>
      </c>
      <c r="L37" s="6" t="s">
        <v>114</v>
      </c>
    </row>
    <row r="38" spans="1:14" x14ac:dyDescent="0.3">
      <c r="A38">
        <v>8</v>
      </c>
      <c r="B38" t="str">
        <f t="shared" si="3"/>
        <v>L1</v>
      </c>
      <c r="C38" t="s">
        <v>47</v>
      </c>
      <c r="D38" s="3">
        <v>0.21011111111111111</v>
      </c>
      <c r="E38" s="3">
        <v>8.4623348498574016E-3</v>
      </c>
      <c r="F38" s="4">
        <f t="shared" si="4"/>
        <v>3.4672720616392975E-2</v>
      </c>
      <c r="G38">
        <f t="shared" si="1"/>
        <v>3.4672720616392975E-2</v>
      </c>
      <c r="H38">
        <f t="shared" si="2"/>
        <v>0</v>
      </c>
      <c r="I38" s="5">
        <v>1.1415999999999999</v>
      </c>
      <c r="J38" s="6">
        <v>282.43529281547188</v>
      </c>
      <c r="K38" s="6">
        <v>28.584503410928303</v>
      </c>
      <c r="L38" s="6" t="s">
        <v>114</v>
      </c>
    </row>
    <row r="39" spans="1:14" x14ac:dyDescent="0.3">
      <c r="A39">
        <v>9</v>
      </c>
      <c r="B39" t="str">
        <f t="shared" si="3"/>
        <v>L1</v>
      </c>
      <c r="C39" t="s">
        <v>48</v>
      </c>
      <c r="D39" s="3">
        <v>0.2048888888888889</v>
      </c>
      <c r="E39" s="3">
        <v>6.565905201197395E-3</v>
      </c>
      <c r="F39" s="4">
        <f t="shared" si="4"/>
        <v>3.2970588263385503E-2</v>
      </c>
      <c r="G39">
        <f t="shared" si="1"/>
        <v>3.2970588263385503E-2</v>
      </c>
      <c r="H39">
        <f t="shared" si="2"/>
        <v>0</v>
      </c>
      <c r="I39" s="5">
        <v>2.3864000000000001</v>
      </c>
      <c r="J39" s="6">
        <v>311.72631552387861</v>
      </c>
      <c r="K39" s="6">
        <v>26.152900044242092</v>
      </c>
      <c r="L39" s="6" t="s">
        <v>114</v>
      </c>
    </row>
    <row r="40" spans="1:14" x14ac:dyDescent="0.3">
      <c r="A40">
        <v>10</v>
      </c>
      <c r="B40" t="str">
        <f t="shared" si="3"/>
        <v>L1</v>
      </c>
      <c r="C40" t="s">
        <v>49</v>
      </c>
      <c r="D40" s="3">
        <v>0.17555555555555555</v>
      </c>
      <c r="E40" s="3">
        <v>2.9202359113225359E-3</v>
      </c>
      <c r="F40" s="4">
        <f t="shared" si="4"/>
        <v>2.4205777470436909E-2</v>
      </c>
      <c r="G40">
        <f t="shared" si="1"/>
        <v>2.4205777470436909E-2</v>
      </c>
      <c r="H40">
        <f t="shared" si="2"/>
        <v>0</v>
      </c>
      <c r="I40" s="5">
        <v>1.0819999999999999</v>
      </c>
      <c r="J40" s="6">
        <v>294.16117737578617</v>
      </c>
      <c r="K40" s="6">
        <v>29.924169062852872</v>
      </c>
      <c r="L40" s="6" t="s">
        <v>114</v>
      </c>
    </row>
    <row r="41" spans="1:14" x14ac:dyDescent="0.3">
      <c r="A41">
        <v>11</v>
      </c>
      <c r="B41" t="str">
        <f t="shared" si="3"/>
        <v>L1</v>
      </c>
      <c r="C41" t="s">
        <v>50</v>
      </c>
      <c r="D41" s="3">
        <v>0.17933333333333332</v>
      </c>
      <c r="E41" s="3">
        <v>3.2787192621510034E-3</v>
      </c>
      <c r="F41" s="4">
        <f t="shared" si="4"/>
        <v>2.5258754000712327E-2</v>
      </c>
      <c r="G41">
        <f t="shared" si="1"/>
        <v>2.5258754000712327E-2</v>
      </c>
      <c r="H41">
        <f t="shared" si="2"/>
        <v>0</v>
      </c>
      <c r="I41" s="5">
        <v>1.0684</v>
      </c>
      <c r="J41" s="6">
        <v>269.49468686412763</v>
      </c>
      <c r="K41" s="6">
        <v>27.544668393322667</v>
      </c>
      <c r="L41" s="6" t="s">
        <v>114</v>
      </c>
    </row>
    <row r="42" spans="1:14" x14ac:dyDescent="0.3">
      <c r="A42">
        <v>12</v>
      </c>
      <c r="B42" t="str">
        <f t="shared" si="3"/>
        <v>L1</v>
      </c>
      <c r="C42" t="s">
        <v>51</v>
      </c>
      <c r="D42" s="3">
        <v>0.14588888888888887</v>
      </c>
      <c r="E42" s="3">
        <v>2.0275875100994084E-3</v>
      </c>
      <c r="F42" s="4">
        <f t="shared" si="4"/>
        <v>1.6716075140174508E-2</v>
      </c>
      <c r="G42">
        <f t="shared" si="1"/>
        <v>1.6716075140174508E-2</v>
      </c>
      <c r="H42">
        <f t="shared" si="2"/>
        <v>0</v>
      </c>
      <c r="I42" s="5">
        <v>1.3604000000000001</v>
      </c>
      <c r="J42" s="6">
        <v>414.08045500851586</v>
      </c>
      <c r="K42" s="6">
        <v>33.701030538416305</v>
      </c>
      <c r="L42" s="6" t="s">
        <v>114</v>
      </c>
    </row>
    <row r="43" spans="1:14" x14ac:dyDescent="0.3">
      <c r="A43">
        <v>14</v>
      </c>
      <c r="B43" t="str">
        <f t="shared" si="3"/>
        <v>L1</v>
      </c>
      <c r="C43" t="s">
        <v>52</v>
      </c>
      <c r="D43" s="3">
        <v>0.18999999999999997</v>
      </c>
      <c r="E43" s="3">
        <v>5.9791303715507043E-3</v>
      </c>
      <c r="F43" s="4">
        <f t="shared" si="4"/>
        <v>2.8352873698647876E-2</v>
      </c>
      <c r="G43">
        <f t="shared" si="1"/>
        <v>2.8352873698647876E-2</v>
      </c>
      <c r="H43">
        <f t="shared" si="2"/>
        <v>0</v>
      </c>
      <c r="I43" s="5">
        <v>1.3612</v>
      </c>
      <c r="J43" s="6">
        <v>333.42299269124277</v>
      </c>
      <c r="K43" s="6">
        <v>28.469024237080394</v>
      </c>
      <c r="L43" s="6" t="s">
        <v>114</v>
      </c>
    </row>
    <row r="44" spans="1:14" x14ac:dyDescent="0.3">
      <c r="A44">
        <v>16</v>
      </c>
      <c r="B44" t="str">
        <f t="shared" si="3"/>
        <v>L1</v>
      </c>
      <c r="C44" t="s">
        <v>53</v>
      </c>
      <c r="D44" s="3">
        <v>0.17988888888888888</v>
      </c>
      <c r="E44" s="3">
        <v>4.371625682868004E-3</v>
      </c>
      <c r="F44" s="4">
        <f t="shared" si="4"/>
        <v>2.5415494263815043E-2</v>
      </c>
      <c r="G44">
        <f t="shared" si="1"/>
        <v>2.5415494263815043E-2</v>
      </c>
      <c r="H44">
        <f t="shared" si="2"/>
        <v>0</v>
      </c>
      <c r="I44" s="5">
        <v>1.218</v>
      </c>
      <c r="J44" s="6">
        <v>281.23002156901964</v>
      </c>
      <c r="K44" s="6">
        <v>26.820030596378835</v>
      </c>
      <c r="L44" s="6" t="s">
        <v>114</v>
      </c>
    </row>
    <row r="45" spans="1:14" x14ac:dyDescent="0.3">
      <c r="A45">
        <v>17</v>
      </c>
      <c r="B45" t="str">
        <f t="shared" si="3"/>
        <v>L1</v>
      </c>
      <c r="C45" t="s">
        <v>54</v>
      </c>
      <c r="D45" s="3">
        <v>0.17277777777777778</v>
      </c>
      <c r="E45" s="3">
        <v>3.8658045015810588E-3</v>
      </c>
      <c r="F45" s="4">
        <f t="shared" si="4"/>
        <v>2.3445832025297715E-2</v>
      </c>
      <c r="G45">
        <f t="shared" si="1"/>
        <v>2.3445832025297715E-2</v>
      </c>
      <c r="H45">
        <f t="shared" si="2"/>
        <v>0</v>
      </c>
      <c r="I45" s="5">
        <v>1.3788</v>
      </c>
      <c r="J45" s="6">
        <v>348.07465954692952</v>
      </c>
      <c r="K45" s="6">
        <v>29.693921116269149</v>
      </c>
      <c r="L45" s="6" t="s">
        <v>114</v>
      </c>
    </row>
    <row r="46" spans="1:14" x14ac:dyDescent="0.3">
      <c r="A46">
        <v>21</v>
      </c>
      <c r="B46" t="str">
        <f t="shared" si="3"/>
        <v>L1</v>
      </c>
      <c r="C46" t="s">
        <v>55</v>
      </c>
      <c r="D46" s="3">
        <v>0.18233333333333335</v>
      </c>
      <c r="E46" s="3">
        <v>3.162277660168382E-3</v>
      </c>
      <c r="F46" s="4">
        <f t="shared" si="4"/>
        <v>2.6110911007998575E-2</v>
      </c>
      <c r="G46">
        <f t="shared" si="1"/>
        <v>2.6110911007998575E-2</v>
      </c>
      <c r="H46">
        <f t="shared" si="2"/>
        <v>0</v>
      </c>
      <c r="I46" s="5">
        <v>1.2000000000000002</v>
      </c>
      <c r="J46" s="6">
        <v>283.73579143717041</v>
      </c>
      <c r="K46" s="6">
        <v>28.432601363934481</v>
      </c>
      <c r="L46" s="6" t="s">
        <v>114</v>
      </c>
    </row>
    <row r="47" spans="1:14" x14ac:dyDescent="0.3">
      <c r="A47">
        <v>23</v>
      </c>
      <c r="B47" t="str">
        <f t="shared" si="3"/>
        <v>L1</v>
      </c>
      <c r="C47" t="s">
        <v>56</v>
      </c>
      <c r="D47" s="3">
        <v>0.15744444444444444</v>
      </c>
      <c r="E47" s="3">
        <v>3.574601764921206E-3</v>
      </c>
      <c r="F47" s="4">
        <f t="shared" si="4"/>
        <v>1.9469041146986901E-2</v>
      </c>
      <c r="G47">
        <f t="shared" si="1"/>
        <v>1.9469041146986901E-2</v>
      </c>
      <c r="H47">
        <f t="shared" si="2"/>
        <v>0</v>
      </c>
      <c r="I47" s="5">
        <v>1.2624</v>
      </c>
      <c r="J47" s="6">
        <v>345.92869516033238</v>
      </c>
      <c r="K47" s="6">
        <v>31.684490179081724</v>
      </c>
      <c r="L47" s="6" t="s">
        <v>114</v>
      </c>
    </row>
    <row r="48" spans="1:14" x14ac:dyDescent="0.3">
      <c r="A48">
        <v>25</v>
      </c>
      <c r="B48" t="str">
        <f t="shared" si="3"/>
        <v>L1</v>
      </c>
      <c r="C48" t="s">
        <v>57</v>
      </c>
      <c r="D48" s="3">
        <v>0.15777777777777777</v>
      </c>
      <c r="E48" s="3">
        <v>3.1928740101113393E-3</v>
      </c>
      <c r="F48" s="4">
        <f t="shared" si="4"/>
        <v>1.9551566131785363E-2</v>
      </c>
      <c r="G48">
        <f t="shared" si="1"/>
        <v>1.9551566131785363E-2</v>
      </c>
      <c r="H48">
        <f t="shared" si="2"/>
        <v>0</v>
      </c>
      <c r="I48" s="5">
        <v>1.2564</v>
      </c>
      <c r="J48" s="6">
        <v>373.10054605502233</v>
      </c>
      <c r="K48" s="6">
        <v>33.500656963366666</v>
      </c>
      <c r="L48" s="6" t="s">
        <v>114</v>
      </c>
    </row>
    <row r="49" spans="1:12" x14ac:dyDescent="0.3">
      <c r="A49">
        <v>29</v>
      </c>
      <c r="B49" t="str">
        <f t="shared" si="3"/>
        <v>L1</v>
      </c>
      <c r="C49" t="s">
        <v>58</v>
      </c>
      <c r="D49" s="3">
        <v>0.19533333333333336</v>
      </c>
      <c r="E49" s="3">
        <v>2.958039891549811E-3</v>
      </c>
      <c r="F49" s="4">
        <f t="shared" si="4"/>
        <v>2.9966954190892243E-2</v>
      </c>
      <c r="G49">
        <f t="shared" si="1"/>
        <v>2.9966954190892243E-2</v>
      </c>
      <c r="H49">
        <f t="shared" si="2"/>
        <v>0</v>
      </c>
      <c r="I49" s="5">
        <v>0.98239999999999994</v>
      </c>
      <c r="J49" s="6">
        <v>230.06008405403213</v>
      </c>
      <c r="K49" s="6">
        <v>26.210357822661191</v>
      </c>
      <c r="L49" s="6" t="s">
        <v>114</v>
      </c>
    </row>
    <row r="50" spans="1:12" x14ac:dyDescent="0.3">
      <c r="A50">
        <v>31</v>
      </c>
      <c r="B50" t="str">
        <f t="shared" si="3"/>
        <v>L1</v>
      </c>
      <c r="C50" t="s">
        <v>59</v>
      </c>
      <c r="D50" s="3">
        <v>0.19655555555555554</v>
      </c>
      <c r="E50" s="3">
        <v>5.6149601759743388E-3</v>
      </c>
      <c r="F50" s="4">
        <f t="shared" si="4"/>
        <v>3.0343140518612366E-2</v>
      </c>
      <c r="G50">
        <f t="shared" si="1"/>
        <v>3.0343140518612366E-2</v>
      </c>
      <c r="H50">
        <f t="shared" si="2"/>
        <v>0</v>
      </c>
      <c r="I50" s="5">
        <v>1.6859999999999999</v>
      </c>
      <c r="J50" s="6">
        <v>342.50904231963386</v>
      </c>
      <c r="K50" s="6">
        <v>25.537505618334997</v>
      </c>
      <c r="L50" s="6" t="s">
        <v>114</v>
      </c>
    </row>
    <row r="51" spans="1:12" x14ac:dyDescent="0.3">
      <c r="A51">
        <v>34</v>
      </c>
      <c r="B51" t="str">
        <f t="shared" si="3"/>
        <v>L1</v>
      </c>
      <c r="C51" t="s">
        <v>60</v>
      </c>
      <c r="D51" s="3">
        <v>0.18622222222222218</v>
      </c>
      <c r="E51" s="3">
        <v>3.3829638550307429E-3</v>
      </c>
      <c r="F51" s="4">
        <f t="shared" si="4"/>
        <v>2.7236599894166783E-2</v>
      </c>
      <c r="G51">
        <f t="shared" si="1"/>
        <v>2.7236599894166783E-2</v>
      </c>
      <c r="H51">
        <f t="shared" si="2"/>
        <v>0</v>
      </c>
      <c r="I51" s="5">
        <v>1.1136000000000001</v>
      </c>
      <c r="J51" s="6">
        <v>319.81965567829849</v>
      </c>
      <c r="K51" s="6">
        <v>31.221896966321825</v>
      </c>
      <c r="L51" s="6" t="s">
        <v>114</v>
      </c>
    </row>
    <row r="52" spans="1:12" x14ac:dyDescent="0.3">
      <c r="A52">
        <v>38</v>
      </c>
      <c r="B52" t="str">
        <f t="shared" si="3"/>
        <v>L1</v>
      </c>
      <c r="C52" t="s">
        <v>61</v>
      </c>
      <c r="D52" s="3">
        <v>0.16822222222222219</v>
      </c>
      <c r="E52" s="3">
        <v>5.8689389538863299E-3</v>
      </c>
      <c r="F52" s="4">
        <f t="shared" si="4"/>
        <v>2.2225759611691071E-2</v>
      </c>
      <c r="G52">
        <f t="shared" si="1"/>
        <v>2.2225759611691071E-2</v>
      </c>
      <c r="H52">
        <f t="shared" si="2"/>
        <v>0</v>
      </c>
      <c r="I52" s="5">
        <v>1.2427999999999999</v>
      </c>
      <c r="J52" s="6">
        <v>345.32003108513953</v>
      </c>
      <c r="K52" s="6">
        <v>31.797657777950075</v>
      </c>
      <c r="L52" s="6" t="s">
        <v>114</v>
      </c>
    </row>
    <row r="53" spans="1:12" x14ac:dyDescent="0.3">
      <c r="A53">
        <v>46</v>
      </c>
      <c r="B53" t="str">
        <f t="shared" si="3"/>
        <v>L1</v>
      </c>
      <c r="C53" t="s">
        <v>62</v>
      </c>
      <c r="D53" s="3">
        <v>0.15922222222222221</v>
      </c>
      <c r="E53" s="3">
        <v>5.6740148435164058E-3</v>
      </c>
      <c r="F53" s="4">
        <f t="shared" si="4"/>
        <v>1.9911191224158797E-2</v>
      </c>
      <c r="G53">
        <f t="shared" si="1"/>
        <v>1.9911191224158797E-2</v>
      </c>
      <c r="H53">
        <f t="shared" si="2"/>
        <v>0</v>
      </c>
      <c r="I53" s="5">
        <v>1.0247999999999999</v>
      </c>
      <c r="J53" s="6">
        <v>286.14561207604021</v>
      </c>
      <c r="K53" s="6">
        <v>31.070829899463174</v>
      </c>
      <c r="L53" s="6" t="s">
        <v>114</v>
      </c>
    </row>
    <row r="54" spans="1:12" x14ac:dyDescent="0.3">
      <c r="A54">
        <v>1</v>
      </c>
      <c r="B54" t="str">
        <f t="shared" si="3"/>
        <v>L2</v>
      </c>
      <c r="C54" t="s">
        <v>63</v>
      </c>
      <c r="D54" s="3">
        <v>0.25111111111111106</v>
      </c>
      <c r="E54" s="3">
        <v>6.9542153483416937E-3</v>
      </c>
      <c r="F54" s="4">
        <f t="shared" si="4"/>
        <v>4.9524687152701294E-2</v>
      </c>
      <c r="G54">
        <f t="shared" si="1"/>
        <v>4.9524687152701294E-2</v>
      </c>
      <c r="H54">
        <f t="shared" si="2"/>
        <v>0</v>
      </c>
      <c r="I54" s="5">
        <v>1.6032000000000002</v>
      </c>
      <c r="J54" s="6">
        <v>240.90611543316416</v>
      </c>
      <c r="K54" s="6">
        <v>20.494718060550284</v>
      </c>
      <c r="L54" s="6" t="s">
        <v>114</v>
      </c>
    </row>
    <row r="55" spans="1:12" x14ac:dyDescent="0.3">
      <c r="A55">
        <v>41</v>
      </c>
      <c r="B55" t="str">
        <f t="shared" si="3"/>
        <v>L2</v>
      </c>
      <c r="C55" t="s">
        <v>64</v>
      </c>
      <c r="D55" s="3">
        <v>0.25422222222222224</v>
      </c>
      <c r="E55" s="3">
        <v>1.9395732634897932E-2</v>
      </c>
      <c r="F55" s="4">
        <f t="shared" si="4"/>
        <v>5.0759449420845579E-2</v>
      </c>
      <c r="G55">
        <f t="shared" si="1"/>
        <v>5.0759449420845579E-2</v>
      </c>
      <c r="H55">
        <f t="shared" si="2"/>
        <v>0</v>
      </c>
      <c r="I55" s="5">
        <v>1.4336</v>
      </c>
      <c r="J55" s="6">
        <v>242.29971247381422</v>
      </c>
      <c r="K55" s="6">
        <v>20.881142527977424</v>
      </c>
      <c r="L55" s="6" t="s">
        <v>114</v>
      </c>
    </row>
    <row r="56" spans="1:12" x14ac:dyDescent="0.3">
      <c r="A56">
        <v>2</v>
      </c>
      <c r="B56" t="str">
        <f t="shared" si="3"/>
        <v>L2</v>
      </c>
      <c r="C56" t="s">
        <v>65</v>
      </c>
      <c r="D56" s="3">
        <v>0.31755555555555559</v>
      </c>
      <c r="E56" s="3">
        <v>5.8760341879347359E-3</v>
      </c>
      <c r="F56" s="4">
        <f t="shared" si="4"/>
        <v>7.9200753134927859E-2</v>
      </c>
      <c r="G56">
        <f t="shared" si="1"/>
        <v>7.9200753134927859E-2</v>
      </c>
      <c r="H56">
        <f t="shared" si="2"/>
        <v>0</v>
      </c>
      <c r="I56" s="5">
        <v>2.1212</v>
      </c>
      <c r="J56" s="6">
        <v>241.26285727923471</v>
      </c>
      <c r="K56" s="6">
        <v>17.659460456064075</v>
      </c>
      <c r="L56" s="6" t="s">
        <v>114</v>
      </c>
    </row>
    <row r="57" spans="1:12" x14ac:dyDescent="0.3">
      <c r="A57">
        <v>5</v>
      </c>
      <c r="B57" t="str">
        <f t="shared" si="3"/>
        <v>L2</v>
      </c>
      <c r="C57" t="s">
        <v>66</v>
      </c>
      <c r="D57" s="3">
        <v>0.309</v>
      </c>
      <c r="E57" s="3">
        <v>1.9364916731037104E-3</v>
      </c>
      <c r="F57" s="4">
        <f t="shared" si="4"/>
        <v>7.4990602039351761E-2</v>
      </c>
      <c r="G57">
        <f t="shared" si="1"/>
        <v>7.4990602039351761E-2</v>
      </c>
      <c r="H57">
        <f t="shared" si="2"/>
        <v>0</v>
      </c>
      <c r="I57" s="5">
        <v>2.2844000000000002</v>
      </c>
      <c r="J57" s="6">
        <v>274.70642240196736</v>
      </c>
      <c r="K57" s="6">
        <v>17.126798471190362</v>
      </c>
      <c r="L57" s="6" t="s">
        <v>114</v>
      </c>
    </row>
    <row r="58" spans="1:12" x14ac:dyDescent="0.3">
      <c r="A58">
        <v>6</v>
      </c>
      <c r="B58" t="str">
        <f t="shared" si="3"/>
        <v>L2</v>
      </c>
      <c r="C58" t="s">
        <v>67</v>
      </c>
      <c r="D58" s="3">
        <v>0.27977777777777779</v>
      </c>
      <c r="E58" s="3">
        <v>7.6121248311128101E-3</v>
      </c>
      <c r="F58" s="4">
        <f t="shared" si="4"/>
        <v>6.1477516357342755E-2</v>
      </c>
      <c r="G58">
        <f t="shared" si="1"/>
        <v>6.1477516357342755E-2</v>
      </c>
      <c r="H58">
        <f t="shared" si="2"/>
        <v>0</v>
      </c>
      <c r="I58" s="5">
        <v>1.7076</v>
      </c>
      <c r="J58" s="6">
        <v>229.80921867238976</v>
      </c>
      <c r="K58" s="6">
        <v>20.132157638933169</v>
      </c>
      <c r="L58" s="6" t="s">
        <v>114</v>
      </c>
    </row>
    <row r="59" spans="1:12" x14ac:dyDescent="0.3">
      <c r="A59">
        <v>13</v>
      </c>
      <c r="B59" t="str">
        <f t="shared" si="3"/>
        <v>L2</v>
      </c>
      <c r="C59" t="s">
        <v>68</v>
      </c>
      <c r="D59" s="3">
        <v>0.36577777777777776</v>
      </c>
      <c r="E59" s="3">
        <v>9.1757530723338785E-3</v>
      </c>
      <c r="F59" s="4">
        <f t="shared" si="4"/>
        <v>0.10508107705991708</v>
      </c>
      <c r="G59">
        <f t="shared" si="1"/>
        <v>0.10508107705991708</v>
      </c>
      <c r="H59">
        <f t="shared" si="2"/>
        <v>0</v>
      </c>
      <c r="I59" s="5">
        <v>1.966</v>
      </c>
      <c r="J59" s="6">
        <v>204.01484834206661</v>
      </c>
      <c r="K59" s="6">
        <v>13.76403983</v>
      </c>
      <c r="L59" s="6" t="s">
        <v>114</v>
      </c>
    </row>
    <row r="60" spans="1:12" x14ac:dyDescent="0.3">
      <c r="A60">
        <v>19</v>
      </c>
      <c r="B60" t="str">
        <f t="shared" si="3"/>
        <v>L2</v>
      </c>
      <c r="C60" t="s">
        <v>69</v>
      </c>
      <c r="D60" s="3">
        <v>0.33533333333333332</v>
      </c>
      <c r="E60" s="3">
        <v>3.9370039370059083E-3</v>
      </c>
      <c r="F60" s="4">
        <f t="shared" si="4"/>
        <v>8.8316801743566653E-2</v>
      </c>
      <c r="G60">
        <f t="shared" si="1"/>
        <v>8.8316801743566653E-2</v>
      </c>
      <c r="H60">
        <f t="shared" si="2"/>
        <v>0</v>
      </c>
      <c r="I60" s="5">
        <v>2.3527999999999998</v>
      </c>
      <c r="J60" s="6">
        <v>265.41155858497206</v>
      </c>
      <c r="K60" s="6">
        <v>15.554052872301762</v>
      </c>
      <c r="L60" s="6" t="s">
        <v>114</v>
      </c>
    </row>
    <row r="61" spans="1:12" x14ac:dyDescent="0.3">
      <c r="A61">
        <v>20</v>
      </c>
      <c r="B61" t="str">
        <f t="shared" si="3"/>
        <v>L2</v>
      </c>
      <c r="C61" t="s">
        <v>70</v>
      </c>
      <c r="D61" s="3">
        <v>0.2911111111111111</v>
      </c>
      <c r="E61" s="3">
        <v>2.2607766610417586E-3</v>
      </c>
      <c r="F61" s="4">
        <f t="shared" si="4"/>
        <v>6.655910065216597E-2</v>
      </c>
      <c r="G61">
        <f t="shared" si="1"/>
        <v>6.655910065216597E-2</v>
      </c>
      <c r="H61">
        <f t="shared" si="2"/>
        <v>0</v>
      </c>
      <c r="I61" s="5">
        <v>2.0228000000000002</v>
      </c>
      <c r="J61" s="6">
        <v>275.32673699676337</v>
      </c>
      <c r="K61" s="6">
        <v>20.333076705810427</v>
      </c>
      <c r="L61" s="6" t="s">
        <v>114</v>
      </c>
    </row>
    <row r="62" spans="1:12" x14ac:dyDescent="0.3">
      <c r="A62">
        <v>22</v>
      </c>
      <c r="B62" t="str">
        <f t="shared" si="3"/>
        <v>L2</v>
      </c>
      <c r="C62" t="s">
        <v>71</v>
      </c>
      <c r="D62" s="3">
        <v>0.28444444444444444</v>
      </c>
      <c r="E62" s="3">
        <v>2.8771127502720058E-3</v>
      </c>
      <c r="F62" s="4">
        <f t="shared" si="4"/>
        <v>6.3545498810389095E-2</v>
      </c>
      <c r="G62">
        <f t="shared" si="1"/>
        <v>6.3545498810389095E-2</v>
      </c>
      <c r="H62">
        <f t="shared" si="2"/>
        <v>0</v>
      </c>
      <c r="I62" s="5">
        <v>2.0872000000000002</v>
      </c>
      <c r="J62" s="6">
        <v>291.69021169080196</v>
      </c>
      <c r="K62" s="6">
        <v>19.3058217626035</v>
      </c>
      <c r="L62" s="6" t="s">
        <v>114</v>
      </c>
    </row>
    <row r="63" spans="1:12" x14ac:dyDescent="0.3">
      <c r="A63">
        <v>24</v>
      </c>
      <c r="B63" t="str">
        <f t="shared" si="3"/>
        <v>L2</v>
      </c>
      <c r="C63" t="s">
        <v>72</v>
      </c>
      <c r="D63" s="3">
        <v>0.2782222222222222</v>
      </c>
      <c r="E63" s="3">
        <v>4.4378423185647622E-3</v>
      </c>
      <c r="F63" s="4">
        <f t="shared" si="4"/>
        <v>6.0795790751513756E-2</v>
      </c>
      <c r="G63">
        <f t="shared" si="1"/>
        <v>6.0795790751513756E-2</v>
      </c>
      <c r="H63">
        <f t="shared" si="2"/>
        <v>0</v>
      </c>
      <c r="I63" s="5">
        <v>1.1188</v>
      </c>
      <c r="J63" s="6">
        <v>183.60152671790146</v>
      </c>
      <c r="K63" s="6">
        <v>19.713424079999999</v>
      </c>
      <c r="L63" s="6" t="s">
        <v>114</v>
      </c>
    </row>
    <row r="64" spans="1:12" x14ac:dyDescent="0.3">
      <c r="A64">
        <v>26</v>
      </c>
      <c r="B64" t="str">
        <f t="shared" si="3"/>
        <v>L2</v>
      </c>
      <c r="C64" t="s">
        <v>73</v>
      </c>
      <c r="D64" s="3">
        <v>0.31211111111111112</v>
      </c>
      <c r="E64" s="3">
        <v>6.8088994052718389E-3</v>
      </c>
      <c r="F64" s="4">
        <f t="shared" si="4"/>
        <v>7.6508262786697048E-2</v>
      </c>
      <c r="G64">
        <f t="shared" si="1"/>
        <v>7.6508262786697048E-2</v>
      </c>
      <c r="H64">
        <f t="shared" si="2"/>
        <v>0</v>
      </c>
      <c r="I64" s="5">
        <v>1.3472</v>
      </c>
      <c r="J64" s="6">
        <v>196.17096838081196</v>
      </c>
      <c r="K64" s="6">
        <v>18.269771120969601</v>
      </c>
      <c r="L64" s="6" t="s">
        <v>114</v>
      </c>
    </row>
    <row r="65" spans="1:12" x14ac:dyDescent="0.3">
      <c r="A65">
        <v>27</v>
      </c>
      <c r="B65" t="str">
        <f t="shared" si="3"/>
        <v>L2</v>
      </c>
      <c r="C65" t="s">
        <v>74</v>
      </c>
      <c r="D65" s="3">
        <v>0.31399999999999995</v>
      </c>
      <c r="E65" s="3">
        <v>2.958039891549811E-3</v>
      </c>
      <c r="F65" s="4">
        <f t="shared" si="4"/>
        <v>7.7437117318334775E-2</v>
      </c>
      <c r="G65">
        <f t="shared" si="1"/>
        <v>7.7437117318334775E-2</v>
      </c>
      <c r="H65">
        <f t="shared" si="2"/>
        <v>0</v>
      </c>
      <c r="I65" s="5">
        <v>1.54</v>
      </c>
      <c r="J65" s="6">
        <v>193.77787448251416</v>
      </c>
      <c r="K65" s="6">
        <v>16.691279120000001</v>
      </c>
      <c r="L65" s="6" t="s">
        <v>114</v>
      </c>
    </row>
    <row r="66" spans="1:12" x14ac:dyDescent="0.3">
      <c r="A66">
        <v>30</v>
      </c>
      <c r="B66" t="str">
        <f t="shared" si="3"/>
        <v>L2</v>
      </c>
      <c r="C66" t="s">
        <v>75</v>
      </c>
      <c r="D66" s="3">
        <v>0.33311111111111108</v>
      </c>
      <c r="E66" s="3">
        <v>3.0184617127124746E-3</v>
      </c>
      <c r="F66" s="4">
        <f t="shared" si="4"/>
        <v>8.7150146101344653E-2</v>
      </c>
      <c r="G66">
        <f t="shared" si="1"/>
        <v>8.7150146101344653E-2</v>
      </c>
      <c r="H66">
        <f t="shared" si="2"/>
        <v>0</v>
      </c>
      <c r="I66" s="5">
        <v>1.8351999999999999</v>
      </c>
      <c r="J66" s="6">
        <v>222.51597808509919</v>
      </c>
      <c r="K66" s="6">
        <v>15.92657653730703</v>
      </c>
      <c r="L66" s="6" t="s">
        <v>114</v>
      </c>
    </row>
    <row r="67" spans="1:12" x14ac:dyDescent="0.3">
      <c r="A67">
        <v>32</v>
      </c>
      <c r="B67" t="str">
        <f t="shared" si="3"/>
        <v>L2</v>
      </c>
      <c r="C67" t="s">
        <v>76</v>
      </c>
      <c r="D67" s="3">
        <v>0.32511111111111113</v>
      </c>
      <c r="E67" s="3">
        <v>4.4565806523736498E-3</v>
      </c>
      <c r="F67" s="4">
        <f t="shared" si="4"/>
        <v>8.3014413905818915E-2</v>
      </c>
      <c r="G67">
        <f t="shared" ref="G67:G96" si="5">(D67/2)^2 * PI()</f>
        <v>8.3014413905818915E-2</v>
      </c>
      <c r="H67">
        <f t="shared" ref="H67:H93" si="6">F67-G67</f>
        <v>0</v>
      </c>
      <c r="I67" s="5">
        <v>2.7875999999999999</v>
      </c>
      <c r="J67" s="6">
        <v>248.98447182256359</v>
      </c>
      <c r="K67" s="6">
        <v>16.424021348958828</v>
      </c>
      <c r="L67" s="6" t="s">
        <v>114</v>
      </c>
    </row>
    <row r="68" spans="1:12" x14ac:dyDescent="0.3">
      <c r="A68">
        <v>33</v>
      </c>
      <c r="B68" t="str">
        <f t="shared" si="3"/>
        <v>L2</v>
      </c>
      <c r="C68" t="s">
        <v>77</v>
      </c>
      <c r="D68" s="3">
        <v>0.28788888888888886</v>
      </c>
      <c r="E68" s="3">
        <v>2.5339911426662701E-2</v>
      </c>
      <c r="F68" s="4">
        <f t="shared" si="4"/>
        <v>6.5093809478654133E-2</v>
      </c>
      <c r="G68">
        <f t="shared" si="5"/>
        <v>6.5093809478654133E-2</v>
      </c>
      <c r="H68">
        <f t="shared" si="6"/>
        <v>0</v>
      </c>
      <c r="I68" s="5">
        <v>1.55</v>
      </c>
      <c r="J68" s="6">
        <v>188.36507032240624</v>
      </c>
      <c r="K68" s="6">
        <v>16.647920838877177</v>
      </c>
      <c r="L68" s="6" t="s">
        <v>114</v>
      </c>
    </row>
    <row r="69" spans="1:12" x14ac:dyDescent="0.3">
      <c r="A69">
        <v>35</v>
      </c>
      <c r="B69" t="str">
        <f t="shared" si="3"/>
        <v>L2</v>
      </c>
      <c r="C69" t="s">
        <v>78</v>
      </c>
      <c r="D69" s="3">
        <v>0.29222222222222222</v>
      </c>
      <c r="E69" s="3">
        <v>1.4813657362192662E-3</v>
      </c>
      <c r="F69" s="4">
        <f t="shared" si="4"/>
        <v>6.7068155017330974E-2</v>
      </c>
      <c r="G69">
        <f t="shared" si="5"/>
        <v>6.7068155017330974E-2</v>
      </c>
      <c r="H69">
        <f t="shared" si="6"/>
        <v>0</v>
      </c>
      <c r="I69" s="5">
        <v>1.4728000000000001</v>
      </c>
      <c r="J69" s="6">
        <v>234.47789783297708</v>
      </c>
      <c r="K69" s="6">
        <v>19.223406479568439</v>
      </c>
      <c r="L69" s="6" t="s">
        <v>114</v>
      </c>
    </row>
    <row r="70" spans="1:12" x14ac:dyDescent="0.3">
      <c r="A70">
        <v>36</v>
      </c>
      <c r="B70" t="str">
        <f t="shared" si="3"/>
        <v>L2</v>
      </c>
      <c r="C70" t="s">
        <v>79</v>
      </c>
      <c r="D70" s="3">
        <v>0.2924444444444444</v>
      </c>
      <c r="E70" s="3">
        <v>6.6164777470930757E-3</v>
      </c>
      <c r="F70" s="4">
        <f t="shared" si="4"/>
        <v>6.7170198600930903E-2</v>
      </c>
      <c r="G70">
        <f t="shared" si="5"/>
        <v>6.7170198600930903E-2</v>
      </c>
      <c r="H70">
        <f t="shared" si="6"/>
        <v>0</v>
      </c>
      <c r="I70" s="5">
        <v>1.5416000000000001</v>
      </c>
      <c r="J70" s="6">
        <v>227.74385543930774</v>
      </c>
      <c r="K70" s="6">
        <v>18.792476109232506</v>
      </c>
      <c r="L70" s="6" t="s">
        <v>114</v>
      </c>
    </row>
    <row r="71" spans="1:12" x14ac:dyDescent="0.3">
      <c r="A71">
        <v>37</v>
      </c>
      <c r="B71" t="str">
        <f t="shared" si="3"/>
        <v>L2</v>
      </c>
      <c r="C71" t="s">
        <v>80</v>
      </c>
      <c r="D71" s="3">
        <v>0.33288888888888896</v>
      </c>
      <c r="E71" s="3">
        <v>6.9721668877839689E-3</v>
      </c>
      <c r="F71" s="4">
        <f t="shared" si="4"/>
        <v>8.7033907173161895E-2</v>
      </c>
      <c r="G71">
        <f t="shared" si="5"/>
        <v>8.7033907173161895E-2</v>
      </c>
      <c r="H71">
        <f t="shared" si="6"/>
        <v>0</v>
      </c>
      <c r="I71" s="5">
        <v>1.3812</v>
      </c>
      <c r="J71" s="6">
        <v>172.5419493131833</v>
      </c>
      <c r="K71" s="6">
        <v>15.209573968864451</v>
      </c>
      <c r="L71" s="6" t="s">
        <v>114</v>
      </c>
    </row>
    <row r="72" spans="1:12" x14ac:dyDescent="0.3">
      <c r="A72">
        <v>42</v>
      </c>
      <c r="B72" t="str">
        <f t="shared" si="3"/>
        <v>L2</v>
      </c>
      <c r="C72" t="s">
        <v>81</v>
      </c>
      <c r="D72" s="3">
        <v>0.29099999999999998</v>
      </c>
      <c r="E72" s="3">
        <v>3.7080992435478345E-3</v>
      </c>
      <c r="F72" s="4">
        <f t="shared" si="4"/>
        <v>6.6508301874659309E-2</v>
      </c>
      <c r="G72">
        <f t="shared" si="5"/>
        <v>6.6508301874659309E-2</v>
      </c>
      <c r="H72">
        <f t="shared" si="6"/>
        <v>0</v>
      </c>
      <c r="I72" s="5">
        <v>2.4316</v>
      </c>
      <c r="J72" s="6">
        <v>299.18069532882549</v>
      </c>
      <c r="K72" s="6">
        <v>18.995662746255732</v>
      </c>
      <c r="L72" s="6" t="s">
        <v>114</v>
      </c>
    </row>
    <row r="73" spans="1:12" x14ac:dyDescent="0.3">
      <c r="B73" t="str">
        <f>IF(D73&lt;AVERAGE($D$73:$D$85), "F1","F2")</f>
        <v>F1</v>
      </c>
      <c r="C73" t="s">
        <v>82</v>
      </c>
      <c r="D73" s="4">
        <v>4.552835220663428E-2</v>
      </c>
      <c r="F73" s="4">
        <v>1.6279975462767258E-3</v>
      </c>
      <c r="G73">
        <f t="shared" si="5"/>
        <v>1.6279975462767258E-3</v>
      </c>
      <c r="H73">
        <f t="shared" si="6"/>
        <v>0</v>
      </c>
      <c r="I73" s="5">
        <v>1.092835</v>
      </c>
      <c r="J73" s="6">
        <v>240.83684947603368</v>
      </c>
      <c r="K73" s="6">
        <v>22.176682848007978</v>
      </c>
      <c r="L73" t="s">
        <v>113</v>
      </c>
    </row>
    <row r="74" spans="1:12" x14ac:dyDescent="0.3">
      <c r="B74" t="str">
        <f t="shared" ref="B74:B85" si="7">IF(D74&lt;AVERAGE($D$73:$D$85), "F1","F2")</f>
        <v>F1</v>
      </c>
      <c r="C74" t="s">
        <v>83</v>
      </c>
      <c r="D74" s="4">
        <v>4.5416875834617329E-2</v>
      </c>
      <c r="F74" s="4">
        <v>1.620034988000701E-3</v>
      </c>
      <c r="G74">
        <f t="shared" si="5"/>
        <v>1.620034988000701E-3</v>
      </c>
      <c r="H74">
        <f t="shared" si="6"/>
        <v>0</v>
      </c>
      <c r="I74" s="5">
        <v>1.2577499999999999</v>
      </c>
      <c r="J74" s="6">
        <v>252.74441788773441</v>
      </c>
      <c r="K74" s="6">
        <v>21.068753910865912</v>
      </c>
      <c r="L74" t="s">
        <v>113</v>
      </c>
    </row>
    <row r="75" spans="1:12" x14ac:dyDescent="0.3">
      <c r="B75" t="str">
        <f t="shared" si="7"/>
        <v>F1</v>
      </c>
      <c r="C75" t="s">
        <v>84</v>
      </c>
      <c r="D75" s="4">
        <v>4.5416875834617329E-2</v>
      </c>
      <c r="F75" s="4">
        <v>1.620034988000701E-3</v>
      </c>
      <c r="G75">
        <f t="shared" si="5"/>
        <v>1.620034988000701E-3</v>
      </c>
      <c r="H75">
        <f t="shared" si="6"/>
        <v>0</v>
      </c>
      <c r="I75" s="5">
        <v>1.0237369999999999</v>
      </c>
      <c r="J75" s="6">
        <v>206.24795296078838</v>
      </c>
      <c r="K75" s="6">
        <v>20.413788597658286</v>
      </c>
      <c r="L75" t="s">
        <v>113</v>
      </c>
    </row>
    <row r="76" spans="1:12" x14ac:dyDescent="0.3">
      <c r="B76" t="str">
        <f t="shared" si="7"/>
        <v>F1</v>
      </c>
      <c r="C76" t="s">
        <v>85</v>
      </c>
      <c r="D76" s="4">
        <v>3.6525166666666664E-2</v>
      </c>
      <c r="F76" s="4">
        <v>1.0477901079527588E-3</v>
      </c>
      <c r="G76">
        <f t="shared" si="5"/>
        <v>1.0477901079527588E-3</v>
      </c>
      <c r="H76">
        <f t="shared" si="6"/>
        <v>0</v>
      </c>
      <c r="I76" s="5">
        <v>0.80656470000000002</v>
      </c>
      <c r="J76" s="6">
        <v>135.69387506224703</v>
      </c>
      <c r="K76" s="6">
        <v>17.14447943614557</v>
      </c>
      <c r="L76" t="s">
        <v>113</v>
      </c>
    </row>
    <row r="77" spans="1:12" x14ac:dyDescent="0.3">
      <c r="B77" t="str">
        <f t="shared" si="7"/>
        <v>F1</v>
      </c>
      <c r="C77" t="s">
        <v>86</v>
      </c>
      <c r="D77" s="4">
        <v>4.8634411111111109E-2</v>
      </c>
      <c r="F77" s="4">
        <v>1.8577069443885029E-3</v>
      </c>
      <c r="G77">
        <f t="shared" si="5"/>
        <v>1.8577069443885029E-3</v>
      </c>
      <c r="H77">
        <f t="shared" si="6"/>
        <v>0</v>
      </c>
      <c r="I77" s="5">
        <v>0.91968340000000004</v>
      </c>
      <c r="J77" s="6">
        <v>187.58825284722701</v>
      </c>
      <c r="K77" s="6">
        <v>20.748205473341834</v>
      </c>
      <c r="L77" t="s">
        <v>113</v>
      </c>
    </row>
    <row r="78" spans="1:12" x14ac:dyDescent="0.3">
      <c r="B78" t="str">
        <f t="shared" si="7"/>
        <v>F1</v>
      </c>
      <c r="C78" t="s">
        <v>87</v>
      </c>
      <c r="D78" s="4">
        <v>4.8634411111111109E-2</v>
      </c>
      <c r="F78" s="4">
        <v>1.8577069443885029E-3</v>
      </c>
      <c r="G78">
        <f t="shared" si="5"/>
        <v>1.8577069443885029E-3</v>
      </c>
      <c r="H78">
        <f t="shared" si="6"/>
        <v>0</v>
      </c>
      <c r="I78" s="5">
        <v>0.9144485</v>
      </c>
      <c r="J78" s="6">
        <v>185.81897486184386</v>
      </c>
      <c r="K78" s="6">
        <v>20.644062741044163</v>
      </c>
      <c r="L78" t="s">
        <v>113</v>
      </c>
    </row>
    <row r="79" spans="1:12" x14ac:dyDescent="0.3">
      <c r="B79" t="str">
        <f t="shared" si="7"/>
        <v>F1</v>
      </c>
      <c r="C79" t="s">
        <v>88</v>
      </c>
      <c r="D79" s="4">
        <v>4.0040936214592503E-2</v>
      </c>
      <c r="F79" s="4">
        <v>1.2592104758060677E-3</v>
      </c>
      <c r="G79">
        <f t="shared" si="5"/>
        <v>1.2592104758060677E-3</v>
      </c>
      <c r="H79">
        <f t="shared" si="6"/>
        <v>0</v>
      </c>
      <c r="I79" s="5">
        <v>0.97951250000000001</v>
      </c>
      <c r="J79" s="6">
        <v>178.44157455580572</v>
      </c>
      <c r="K79" s="6">
        <v>18.487127468855263</v>
      </c>
      <c r="L79" t="s">
        <v>113</v>
      </c>
    </row>
    <row r="80" spans="1:12" x14ac:dyDescent="0.3">
      <c r="B80" t="str">
        <f t="shared" si="7"/>
        <v>F2</v>
      </c>
      <c r="C80" t="s">
        <v>89</v>
      </c>
      <c r="D80" s="4">
        <v>5.3566091996503168E-2</v>
      </c>
      <c r="F80" s="4">
        <v>2.2535635369184738E-3</v>
      </c>
      <c r="G80">
        <f t="shared" si="5"/>
        <v>2.2535635369184738E-3</v>
      </c>
      <c r="H80">
        <f t="shared" si="6"/>
        <v>0</v>
      </c>
      <c r="I80" s="5">
        <v>0.69282220000000005</v>
      </c>
      <c r="J80" s="6">
        <v>118.01464464750137</v>
      </c>
      <c r="K80" s="6">
        <v>16.834797305496142</v>
      </c>
      <c r="L80" t="s">
        <v>113</v>
      </c>
    </row>
    <row r="81" spans="2:12" x14ac:dyDescent="0.3">
      <c r="B81" t="str">
        <f t="shared" si="7"/>
        <v>F2</v>
      </c>
      <c r="C81" t="s">
        <v>90</v>
      </c>
      <c r="D81" s="4">
        <v>5.3566091996503168E-2</v>
      </c>
      <c r="F81" s="4">
        <v>2.2535635369184738E-3</v>
      </c>
      <c r="G81">
        <f t="shared" si="5"/>
        <v>2.2535635369184738E-3</v>
      </c>
      <c r="H81">
        <f t="shared" si="6"/>
        <v>0</v>
      </c>
      <c r="I81" s="5">
        <v>1.0194859999999999</v>
      </c>
      <c r="J81" s="6">
        <v>177.55332540884791</v>
      </c>
      <c r="K81" s="6">
        <v>17.433486174601189</v>
      </c>
      <c r="L81" t="s">
        <v>113</v>
      </c>
    </row>
    <row r="82" spans="2:12" x14ac:dyDescent="0.3">
      <c r="B82" t="str">
        <f t="shared" si="7"/>
        <v>F2</v>
      </c>
      <c r="C82" t="s">
        <v>91</v>
      </c>
      <c r="D82" s="4">
        <v>5.9822300000000002E-2</v>
      </c>
      <c r="F82" s="4">
        <v>2.8107103585400979E-3</v>
      </c>
      <c r="G82">
        <f t="shared" si="5"/>
        <v>2.8107103585400979E-3</v>
      </c>
      <c r="H82">
        <f t="shared" si="6"/>
        <v>0</v>
      </c>
      <c r="I82" s="5">
        <v>1.0667629999999999</v>
      </c>
      <c r="J82" s="6">
        <v>187.11547363890256</v>
      </c>
      <c r="K82" s="6">
        <v>17.733756347407969</v>
      </c>
      <c r="L82" t="s">
        <v>113</v>
      </c>
    </row>
    <row r="83" spans="2:12" x14ac:dyDescent="0.3">
      <c r="B83" t="str">
        <f t="shared" si="7"/>
        <v>F2</v>
      </c>
      <c r="C83" t="s">
        <v>92</v>
      </c>
      <c r="D83" s="4">
        <v>6.0174449276210018E-2</v>
      </c>
      <c r="F83" s="4">
        <v>2.8438987468366317E-3</v>
      </c>
      <c r="G83">
        <f t="shared" si="5"/>
        <v>2.8438987468366317E-3</v>
      </c>
      <c r="H83">
        <f t="shared" si="6"/>
        <v>0</v>
      </c>
      <c r="I83" s="5">
        <v>1.2299519999999999</v>
      </c>
      <c r="J83" s="6">
        <v>303.34300788999104</v>
      </c>
      <c r="K83" s="6">
        <v>25.784364040262606</v>
      </c>
      <c r="L83" t="s">
        <v>113</v>
      </c>
    </row>
    <row r="84" spans="2:12" x14ac:dyDescent="0.3">
      <c r="B84" t="str">
        <f t="shared" si="7"/>
        <v>F2</v>
      </c>
      <c r="C84" t="s">
        <v>93</v>
      </c>
      <c r="D84" s="4">
        <v>6.0174449276210018E-2</v>
      </c>
      <c r="F84" s="4">
        <v>2.8438987468366317E-3</v>
      </c>
      <c r="G84">
        <f t="shared" si="5"/>
        <v>2.8438987468366317E-3</v>
      </c>
      <c r="H84">
        <f t="shared" si="6"/>
        <v>0</v>
      </c>
      <c r="I84" s="5">
        <v>0.94312470000000004</v>
      </c>
      <c r="J84" s="6">
        <v>221.37465361602258</v>
      </c>
      <c r="K84" s="6">
        <v>24.193507973413883</v>
      </c>
      <c r="L84" t="s">
        <v>113</v>
      </c>
    </row>
    <row r="85" spans="2:12" x14ac:dyDescent="0.3">
      <c r="B85" t="str">
        <f t="shared" si="7"/>
        <v>F2</v>
      </c>
      <c r="C85" t="s">
        <v>94</v>
      </c>
      <c r="D85" s="4">
        <v>7.1964342934999315E-2</v>
      </c>
      <c r="F85" s="4">
        <v>4.06747235858387E-3</v>
      </c>
      <c r="G85">
        <f t="shared" si="5"/>
        <v>4.06747235858387E-3</v>
      </c>
      <c r="H85">
        <f t="shared" si="6"/>
        <v>0</v>
      </c>
      <c r="I85" s="5">
        <v>1.2089760000000001</v>
      </c>
      <c r="J85" s="6">
        <v>291.47045031493712</v>
      </c>
      <c r="K85" s="6">
        <v>24.960974073635771</v>
      </c>
      <c r="L85" t="s">
        <v>113</v>
      </c>
    </row>
    <row r="86" spans="2:12" x14ac:dyDescent="0.3">
      <c r="B86" t="str">
        <f>IF(D86&lt;AVERAGE($D$86:$D$98), "X1","X2")</f>
        <v>X2</v>
      </c>
      <c r="C86" t="s">
        <v>95</v>
      </c>
      <c r="D86" s="3">
        <v>0.44185388817689258</v>
      </c>
      <c r="E86" s="4"/>
      <c r="F86" s="3">
        <v>5.2099280509959885E-2</v>
      </c>
      <c r="G86">
        <f t="shared" si="5"/>
        <v>0.15333709929473427</v>
      </c>
      <c r="H86">
        <f t="shared" si="6"/>
        <v>-0.10123781878477439</v>
      </c>
      <c r="I86" s="5">
        <v>1.0975999999999999</v>
      </c>
      <c r="J86" s="6">
        <v>228.43309703144234</v>
      </c>
      <c r="K86" s="6">
        <v>24.226382895819203</v>
      </c>
      <c r="L86" s="6" t="s">
        <v>114</v>
      </c>
    </row>
    <row r="87" spans="2:12" x14ac:dyDescent="0.3">
      <c r="B87" t="str">
        <f t="shared" ref="B87:B98" si="8">IF(D87&lt;AVERAGE($D$86:$D$98), "X1","X2")</f>
        <v>X2</v>
      </c>
      <c r="C87" t="s">
        <v>96</v>
      </c>
      <c r="D87" s="3">
        <v>0.31728998883112325</v>
      </c>
      <c r="E87" s="4"/>
      <c r="F87" s="3">
        <v>4.3537829663689499E-2</v>
      </c>
      <c r="G87">
        <f t="shared" si="5"/>
        <v>7.9068339833408621E-2</v>
      </c>
      <c r="H87">
        <f t="shared" si="6"/>
        <v>-3.5530510169719122E-2</v>
      </c>
      <c r="I87" s="5">
        <v>0.49080000000000001</v>
      </c>
      <c r="J87" s="6">
        <v>123.8210549685715</v>
      </c>
      <c r="K87" s="6">
        <v>29.767682131711567</v>
      </c>
      <c r="L87" s="6" t="s">
        <v>114</v>
      </c>
    </row>
    <row r="88" spans="2:12" x14ac:dyDescent="0.3">
      <c r="B88" t="str">
        <f t="shared" si="8"/>
        <v>X2</v>
      </c>
      <c r="C88" t="s">
        <v>97</v>
      </c>
      <c r="D88" s="3">
        <v>0.31728998883112325</v>
      </c>
      <c r="E88" s="4"/>
      <c r="F88" s="3">
        <v>4.4779340538274807E-2</v>
      </c>
      <c r="G88">
        <f t="shared" si="5"/>
        <v>7.9068339833408621E-2</v>
      </c>
      <c r="H88">
        <f t="shared" si="6"/>
        <v>-3.4288999295133814E-2</v>
      </c>
      <c r="I88" s="5">
        <v>0.95239999999999991</v>
      </c>
      <c r="J88" s="6">
        <v>214.3912769727865</v>
      </c>
      <c r="K88" s="6">
        <v>28.764518502713592</v>
      </c>
      <c r="L88" s="6" t="s">
        <v>114</v>
      </c>
    </row>
    <row r="89" spans="2:12" x14ac:dyDescent="0.3">
      <c r="B89" t="str">
        <f t="shared" si="8"/>
        <v>X2</v>
      </c>
      <c r="C89" t="s">
        <v>98</v>
      </c>
      <c r="D89" s="3">
        <v>0.41977777777777781</v>
      </c>
      <c r="E89" s="4"/>
      <c r="F89" s="3">
        <v>0.13839766715123686</v>
      </c>
      <c r="G89">
        <f t="shared" si="5"/>
        <v>0.13839766715123686</v>
      </c>
      <c r="H89">
        <f t="shared" si="6"/>
        <v>0</v>
      </c>
      <c r="I89" s="5">
        <v>0.40920000000000001</v>
      </c>
      <c r="J89" s="6">
        <v>95.570252535732806</v>
      </c>
      <c r="K89" s="6">
        <v>32.31573290692598</v>
      </c>
      <c r="L89" s="6" t="s">
        <v>114</v>
      </c>
    </row>
    <row r="90" spans="2:12" x14ac:dyDescent="0.3">
      <c r="B90" t="str">
        <f t="shared" si="8"/>
        <v>X1</v>
      </c>
      <c r="C90" t="s">
        <v>99</v>
      </c>
      <c r="D90" s="3">
        <v>0.22577777777777777</v>
      </c>
      <c r="E90" s="4"/>
      <c r="F90" s="3">
        <v>4.0036146496592408E-2</v>
      </c>
      <c r="G90">
        <f t="shared" si="5"/>
        <v>4.0036146496592408E-2</v>
      </c>
      <c r="H90">
        <f t="shared" si="6"/>
        <v>0</v>
      </c>
      <c r="I90" s="5">
        <v>1.05</v>
      </c>
      <c r="J90" s="6">
        <v>222.56887287487632</v>
      </c>
      <c r="K90" s="6">
        <v>25.231275508386602</v>
      </c>
      <c r="L90" s="6" t="s">
        <v>114</v>
      </c>
    </row>
    <row r="91" spans="2:12" x14ac:dyDescent="0.3">
      <c r="B91" t="str">
        <f t="shared" si="8"/>
        <v>X1</v>
      </c>
      <c r="C91" t="s">
        <v>100</v>
      </c>
      <c r="D91" s="3">
        <v>0.26955555555555555</v>
      </c>
      <c r="E91" s="4"/>
      <c r="F91" s="3">
        <v>5.7067185692836545E-2</v>
      </c>
      <c r="G91">
        <f t="shared" si="5"/>
        <v>5.7067185692836545E-2</v>
      </c>
      <c r="H91">
        <f t="shared" si="6"/>
        <v>0</v>
      </c>
      <c r="I91" s="5">
        <v>0.78039999999999998</v>
      </c>
      <c r="J91" s="6">
        <v>148.42154728970999</v>
      </c>
      <c r="K91" s="6">
        <v>22.161352981139068</v>
      </c>
      <c r="L91" s="6" t="s">
        <v>114</v>
      </c>
    </row>
    <row r="92" spans="2:12" x14ac:dyDescent="0.3">
      <c r="B92" t="str">
        <f t="shared" si="8"/>
        <v>X1</v>
      </c>
      <c r="C92" t="s">
        <v>96</v>
      </c>
      <c r="D92" s="3">
        <v>0.20355555555555557</v>
      </c>
      <c r="E92" s="4"/>
      <c r="F92" s="3">
        <v>3.2542866241363426E-2</v>
      </c>
      <c r="G92">
        <f t="shared" si="5"/>
        <v>3.2542866241363426E-2</v>
      </c>
      <c r="H92">
        <f t="shared" si="6"/>
        <v>0</v>
      </c>
      <c r="I92" s="5">
        <v>0.73759999999999992</v>
      </c>
      <c r="J92" s="6">
        <v>159.8476287066612</v>
      </c>
      <c r="K92" s="6">
        <v>25.810365121258489</v>
      </c>
      <c r="L92" s="6" t="s">
        <v>114</v>
      </c>
    </row>
    <row r="93" spans="2:12" x14ac:dyDescent="0.3">
      <c r="B93" t="str">
        <f t="shared" si="8"/>
        <v>X1</v>
      </c>
      <c r="C93" t="s">
        <v>101</v>
      </c>
      <c r="D93" s="3">
        <v>0.20266666666666666</v>
      </c>
      <c r="E93" s="4"/>
      <c r="F93" s="3">
        <v>3.2259269630461593E-2</v>
      </c>
      <c r="G93">
        <f t="shared" si="5"/>
        <v>3.2259269630461593E-2</v>
      </c>
      <c r="H93">
        <f t="shared" si="6"/>
        <v>0</v>
      </c>
      <c r="I93" s="5">
        <v>1.0848</v>
      </c>
      <c r="J93" s="6">
        <v>256.74480838769966</v>
      </c>
      <c r="K93" s="6">
        <v>29.300197116378072</v>
      </c>
      <c r="L93" s="6" t="s">
        <v>114</v>
      </c>
    </row>
    <row r="94" spans="2:12" x14ac:dyDescent="0.3">
      <c r="B94" t="str">
        <f t="shared" si="8"/>
        <v>X1</v>
      </c>
      <c r="C94" t="s">
        <v>102</v>
      </c>
      <c r="D94" s="3">
        <v>0.21622222222222226</v>
      </c>
      <c r="E94" s="4"/>
      <c r="F94" s="3">
        <v>3.6718973720251999E-2</v>
      </c>
      <c r="G94">
        <f t="shared" si="5"/>
        <v>3.6718973720251999E-2</v>
      </c>
      <c r="H94">
        <f>F94-G94</f>
        <v>0</v>
      </c>
      <c r="I94" s="5">
        <v>0.96679999999999999</v>
      </c>
      <c r="J94" s="6">
        <v>232.08709657644306</v>
      </c>
      <c r="K94" s="6">
        <v>28.238980685964901</v>
      </c>
      <c r="L94" s="6" t="s">
        <v>114</v>
      </c>
    </row>
    <row r="95" spans="2:12" x14ac:dyDescent="0.3">
      <c r="B95" t="str">
        <f t="shared" si="8"/>
        <v>X1</v>
      </c>
      <c r="C95" t="s">
        <v>97</v>
      </c>
      <c r="D95" s="3">
        <v>0.24733333333333332</v>
      </c>
      <c r="E95" s="4"/>
      <c r="F95" s="3">
        <v>4.8045772714750294E-2</v>
      </c>
      <c r="G95">
        <f t="shared" si="5"/>
        <v>4.8045772714750294E-2</v>
      </c>
      <c r="H95">
        <f t="shared" ref="H95:H105" si="9">F95-G95</f>
        <v>0</v>
      </c>
      <c r="I95" s="5">
        <v>1.6516</v>
      </c>
      <c r="J95" s="6">
        <v>303.32325148609573</v>
      </c>
      <c r="K95" s="6">
        <v>25.35499046132497</v>
      </c>
      <c r="L95" s="6" t="s">
        <v>114</v>
      </c>
    </row>
    <row r="96" spans="2:12" x14ac:dyDescent="0.3">
      <c r="B96" t="str">
        <f t="shared" si="8"/>
        <v>X2</v>
      </c>
      <c r="C96" t="s">
        <v>103</v>
      </c>
      <c r="D96" s="3">
        <v>0.29888888888888887</v>
      </c>
      <c r="E96" s="4"/>
      <c r="F96" s="3">
        <v>7.0163205557534261E-2</v>
      </c>
      <c r="G96">
        <f t="shared" si="5"/>
        <v>7.0163205557534261E-2</v>
      </c>
      <c r="H96">
        <f t="shared" si="9"/>
        <v>0</v>
      </c>
      <c r="I96" s="5">
        <v>0.90679999999999994</v>
      </c>
      <c r="J96" s="6">
        <v>167.87288873712529</v>
      </c>
      <c r="K96" s="6">
        <v>22.962666191832824</v>
      </c>
      <c r="L96" s="6" t="s">
        <v>114</v>
      </c>
    </row>
    <row r="97" spans="2:12" x14ac:dyDescent="0.3">
      <c r="B97" t="str">
        <f t="shared" si="8"/>
        <v>X1</v>
      </c>
      <c r="C97" t="s">
        <v>104</v>
      </c>
      <c r="D97" s="3">
        <v>0.23011111111111113</v>
      </c>
      <c r="E97" s="4"/>
      <c r="F97" s="3">
        <v>4.1587715112794507E-2</v>
      </c>
      <c r="G97">
        <f>(D97/2)^2 * PI()</f>
        <v>4.1587715112794507E-2</v>
      </c>
      <c r="H97">
        <f t="shared" si="9"/>
        <v>0</v>
      </c>
      <c r="I97" s="5">
        <v>1.6220000000000001</v>
      </c>
      <c r="J97" s="6">
        <v>286.76016385259516</v>
      </c>
      <c r="K97" s="6">
        <v>24.460075709265517</v>
      </c>
      <c r="L97" s="6" t="s">
        <v>114</v>
      </c>
    </row>
    <row r="98" spans="2:12" x14ac:dyDescent="0.3">
      <c r="B98" t="str">
        <f t="shared" si="8"/>
        <v>X1</v>
      </c>
      <c r="C98" t="s">
        <v>105</v>
      </c>
      <c r="D98" s="3">
        <v>0.23977777777777773</v>
      </c>
      <c r="E98" s="4"/>
      <c r="F98" s="3">
        <v>4.5155197192691766E-2</v>
      </c>
      <c r="G98">
        <f t="shared" ref="G98:G105" si="10">(D98/2)^2 * PI()</f>
        <v>4.5155197192691766E-2</v>
      </c>
      <c r="H98">
        <f t="shared" si="9"/>
        <v>0</v>
      </c>
      <c r="I98" s="5">
        <v>1.448</v>
      </c>
      <c r="J98" s="6">
        <v>243.44705999377561</v>
      </c>
      <c r="K98" s="6">
        <v>22.791580620688187</v>
      </c>
      <c r="L98" s="6" t="s">
        <v>114</v>
      </c>
    </row>
    <row r="99" spans="2:12" x14ac:dyDescent="0.3">
      <c r="B99" t="s">
        <v>116</v>
      </c>
      <c r="C99" t="s">
        <v>106</v>
      </c>
      <c r="D99" s="3">
        <v>0.89755555555555544</v>
      </c>
      <c r="E99" s="4"/>
      <c r="F99" s="4">
        <v>0.63272145342941732</v>
      </c>
      <c r="G99">
        <f t="shared" si="10"/>
        <v>0.63272145342941732</v>
      </c>
      <c r="H99">
        <f t="shared" si="9"/>
        <v>0</v>
      </c>
      <c r="I99" s="5">
        <v>2.8129999999999997</v>
      </c>
      <c r="J99" s="6">
        <v>153.48017595049518</v>
      </c>
      <c r="K99" s="6">
        <v>6.9046815176846152</v>
      </c>
      <c r="L99" s="6" t="s">
        <v>114</v>
      </c>
    </row>
    <row r="100" spans="2:12" x14ac:dyDescent="0.3">
      <c r="B100" t="s">
        <v>116</v>
      </c>
      <c r="C100" t="s">
        <v>107</v>
      </c>
      <c r="D100" s="3">
        <v>1.0513333333333332</v>
      </c>
      <c r="E100" s="4"/>
      <c r="F100" s="4">
        <v>0.86810198626660107</v>
      </c>
      <c r="G100">
        <f t="shared" si="10"/>
        <v>0.86810198626660107</v>
      </c>
      <c r="H100">
        <f t="shared" si="9"/>
        <v>0</v>
      </c>
      <c r="I100" s="5">
        <v>3.8888888888888888</v>
      </c>
      <c r="J100" s="6">
        <v>90.330170003686504</v>
      </c>
      <c r="K100" s="6">
        <v>4.7766448072144421</v>
      </c>
      <c r="L100" s="6" t="s">
        <v>114</v>
      </c>
    </row>
    <row r="101" spans="2:12" x14ac:dyDescent="0.3">
      <c r="B101" t="s">
        <v>117</v>
      </c>
      <c r="C101" t="s">
        <v>108</v>
      </c>
      <c r="D101" s="3">
        <v>1.6924325554167357</v>
      </c>
      <c r="E101" s="3"/>
      <c r="F101" s="3">
        <v>2.2496379149378445</v>
      </c>
      <c r="G101">
        <f t="shared" si="10"/>
        <v>2.2496379149378445</v>
      </c>
      <c r="H101">
        <f t="shared" si="9"/>
        <v>0</v>
      </c>
      <c r="I101" s="5">
        <v>4.79</v>
      </c>
      <c r="J101" s="6">
        <v>39.417854496131227</v>
      </c>
      <c r="K101" s="6">
        <v>3.1235457135457123</v>
      </c>
      <c r="L101" s="6" t="s">
        <v>114</v>
      </c>
    </row>
    <row r="102" spans="2:12" x14ac:dyDescent="0.3">
      <c r="B102" t="s">
        <v>117</v>
      </c>
      <c r="C102" t="s">
        <v>109</v>
      </c>
      <c r="D102" s="3">
        <v>1.6924325554167357</v>
      </c>
      <c r="E102" s="3"/>
      <c r="F102" s="3">
        <v>2.2496379149378445</v>
      </c>
      <c r="G102">
        <f t="shared" si="10"/>
        <v>2.2496379149378445</v>
      </c>
      <c r="H102">
        <f t="shared" si="9"/>
        <v>0</v>
      </c>
      <c r="I102" s="5">
        <v>6.9815000000000005</v>
      </c>
      <c r="J102" s="6">
        <v>34.580142645821894</v>
      </c>
      <c r="K102" s="6">
        <v>3.4223828197945836</v>
      </c>
      <c r="L102" s="6" t="s">
        <v>114</v>
      </c>
    </row>
    <row r="103" spans="2:12" x14ac:dyDescent="0.3">
      <c r="B103" t="s">
        <v>117</v>
      </c>
      <c r="C103" t="s">
        <v>110</v>
      </c>
      <c r="D103" s="3">
        <v>1.6924325554167357</v>
      </c>
      <c r="E103" s="3"/>
      <c r="F103" s="3">
        <v>2.2496379149378445</v>
      </c>
      <c r="G103">
        <f t="shared" si="10"/>
        <v>2.2496379149378445</v>
      </c>
      <c r="H103">
        <f t="shared" si="9"/>
        <v>0</v>
      </c>
      <c r="I103" s="5">
        <v>10.3195</v>
      </c>
      <c r="J103" s="6">
        <v>76.811916643383157</v>
      </c>
      <c r="K103" s="6">
        <v>3.2482967032967052</v>
      </c>
      <c r="L103" s="6" t="s">
        <v>114</v>
      </c>
    </row>
    <row r="104" spans="2:12" x14ac:dyDescent="0.3">
      <c r="B104" t="s">
        <v>117</v>
      </c>
      <c r="C104" t="s">
        <v>110</v>
      </c>
      <c r="D104" s="3">
        <v>1.5284444444444445</v>
      </c>
      <c r="E104" s="3"/>
      <c r="F104" s="3">
        <v>1.834801965908945</v>
      </c>
      <c r="G104">
        <f t="shared" si="10"/>
        <v>1.834801965908945</v>
      </c>
      <c r="H104">
        <f t="shared" si="9"/>
        <v>0</v>
      </c>
      <c r="I104" s="5">
        <v>3.4999999999999996</v>
      </c>
      <c r="J104" s="6">
        <v>70.862034386141673</v>
      </c>
      <c r="K104" s="6">
        <v>3.771833763506387</v>
      </c>
      <c r="L104" s="6" t="s">
        <v>114</v>
      </c>
    </row>
    <row r="105" spans="2:12" x14ac:dyDescent="0.3">
      <c r="B105" t="s">
        <v>117</v>
      </c>
      <c r="C105" t="s">
        <v>111</v>
      </c>
      <c r="D105" s="3">
        <v>1.5284444444444445</v>
      </c>
      <c r="E105" s="3"/>
      <c r="F105" s="3">
        <v>1.834801965908945</v>
      </c>
      <c r="G105">
        <f t="shared" si="10"/>
        <v>1.834801965908945</v>
      </c>
      <c r="H105">
        <f t="shared" si="9"/>
        <v>0</v>
      </c>
      <c r="I105" s="5">
        <v>6.4782608695652177</v>
      </c>
      <c r="J105" s="6">
        <v>59.819916284876548</v>
      </c>
      <c r="K105" s="6">
        <v>4.1912240725918188</v>
      </c>
      <c r="L105" s="6" t="s">
        <v>114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</dc:creator>
  <cp:lastModifiedBy>Mackinley Shaw</cp:lastModifiedBy>
  <cp:lastPrinted>2025-11-27T02:59:16Z</cp:lastPrinted>
  <dcterms:created xsi:type="dcterms:W3CDTF">2015-06-05T18:17:20Z</dcterms:created>
  <dcterms:modified xsi:type="dcterms:W3CDTF">2026-02-24T01:18:11Z</dcterms:modified>
</cp:coreProperties>
</file>